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Itinerary" sheetId="1" state="visible" r:id="rId3"/>
    <sheet name="Evening &amp; Weekend Activities" sheetId="2" state="visible" r:id="rId4"/>
    <sheet name="GF Daytime Plans" sheetId="3" state="visible" r:id="rId5"/>
    <sheet name="Booking Checklist" sheetId="4" state="visible" r:id="rId6"/>
    <sheet name="Budget Estimate" sheetId="5" state="visible" r:id="rId7"/>
    <sheet name="Booking Confirm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<sst xmlns="http://schemas.openxmlformats.org/spreadsheetml/2006/main" count="651" uniqueCount="485">
  <si>
    <t xml:space="preserve">SEATTLE TRIP MASTER ITINERARY — APRIL 10–19, 2026</t>
  </si>
  <si>
    <t xml:space="preserve">Purpose: Business (Meta — VSR/UVQ/OEP Team Meetings) + Personal Exploration  |  Traveler: Ayush (+GF for personal days)</t>
  </si>
  <si>
    <t xml:space="preserve">Office covers: Flights + Hyatt Regency (Apr 12–18) + Enterprise car (Apr 12–18)  |  Personal: Redmond Inn (Apr 10–12 + Apr 18–19), Costco rental car (Apr 10–12), food/transport ~$100/day</t>
  </si>
  <si>
    <t xml:space="preserve">Date</t>
  </si>
  <si>
    <t xml:space="preserve">Time</t>
  </si>
  <si>
    <t xml:space="preserve">Activity</t>
  </si>
  <si>
    <t xml:space="preserve">Location / Details</t>
  </si>
  <si>
    <t xml:space="preserve">Type</t>
  </si>
  <si>
    <t xml:space="preserve">Cost Covered</t>
  </si>
  <si>
    <t xml:space="preserve">Notes / Action Items</t>
  </si>
  <si>
    <t xml:space="preserve">▸ PERSONAL PHASE 1  —  APR 10 (FRI) ARRIVAL + WEEKEND (APR 11–12)</t>
  </si>
  <si>
    <t xml:space="preserve">Fri, Apr 10</t>
  </si>
  <si>
    <t xml:space="preserve">8:00 AM</t>
  </si>
  <si>
    <t xml:space="preserve">Depart SJC → SEA (Alaska Airlines AS1406)</t>
  </si>
  <si>
    <t xml:space="preserve">San Jose Mineta Airport (SJC), Terminal B | Seat 15C | Conf: ILTFTW | Ticket: 0277429614298</t>
  </si>
  <si>
    <t xml:space="preserve">Business Flight</t>
  </si>
  <si>
    <t xml:space="preserve">✓ Office</t>
  </si>
  <si>
    <t xml:space="preserve">Nonstop, Boeing 737-800 | Check in online 24h before</t>
  </si>
  <si>
    <t xml:space="preserve">10:20 AM</t>
  </si>
  <si>
    <t xml:space="preserve">Arrive Seattle-Tacoma Intl Airport (SEA)</t>
  </si>
  <si>
    <t xml:space="preserve">SEA Airport</t>
  </si>
  <si>
    <t xml:space="preserve">~11:00 AM</t>
  </si>
  <si>
    <t xml:space="preserve">Pick up personal rental car (Costco/Enterprise)</t>
  </si>
  <si>
    <t xml:space="preserve">Bellevue 140th Ave NE, 2299 140th Ave NE Ste B, Bellevue WA 98005 | Ph: 425-641-1365 | Costco Conf: C487837485 | Enterprise Conf: 2095364762</t>
  </si>
  <si>
    <t xml:space="preserve">Personal Car</t>
  </si>
  <si>
    <t xml:space="preserve">Personal ($89.27)</t>
  </si>
  <si>
    <t xml:space="preserve">Toyota Corolla or similar | Unlimited mileage | Drop-off Apr 12 by 9:00 AM</t>
  </si>
  <si>
    <t xml:space="preserve">~11:30 AM</t>
  </si>
  <si>
    <t xml:space="preserve">Check in / drop bags at Redmond Inn</t>
  </si>
  <si>
    <t xml:space="preserve">17601 Redmond Way, Redmond WA 98052 | Conf: 987320458 | Priceline #308-977-923-95 | Ph: 425-883-4900</t>
  </si>
  <si>
    <t xml:space="preserve">Personal Hotel</t>
  </si>
  <si>
    <t xml:space="preserve">Personal ($150.08 / 2 nts)</t>
  </si>
  <si>
    <t xml:space="preserve">Free WiFi, Free Breakfast, Free Parking, Pool | 1 King Bed | Check-in after 3 PM (drop bags early if needed)</t>
  </si>
  <si>
    <t xml:space="preserve">12:00–5:00 PM</t>
  </si>
  <si>
    <t xml:space="preserve">Work remotely (settle in, laptop setup)</t>
  </si>
  <si>
    <t xml:space="preserve">Redmond Inn / coffee shop</t>
  </si>
  <si>
    <t xml:space="preserve">Work</t>
  </si>
  <si>
    <t xml:space="preserve">—</t>
  </si>
  <si>
    <t xml:space="preserve">Light work day — just arrived, settle in</t>
  </si>
  <si>
    <t xml:space="preserve">5:00–6:00 PM</t>
  </si>
  <si>
    <t xml:space="preserve">Drive to Seattle (~30 min)</t>
  </si>
  <si>
    <t xml:space="preserve">From Redmond → Seattle via SR-520</t>
  </si>
  <si>
    <t xml:space="preserve">Personal</t>
  </si>
  <si>
    <t xml:space="preserve">6:00–7:30 PM</t>
  </si>
  <si>
    <t xml:space="preserve">Pike Place Market + Waterfront stroll</t>
  </si>
  <si>
    <t xml:space="preserve">Pike Place Market, Seattle | Western Ave</t>
  </si>
  <si>
    <t xml:space="preserve">Farmers market wraps up around 6 PM — mostly just the stalls. Beautiful views of Elliott Bay. Easy parking at Pike Place garage.</t>
  </si>
  <si>
    <t xml:space="preserve">7:30 PM</t>
  </si>
  <si>
    <t xml:space="preserve">Dinner near Pike Place / Capitol Hill</t>
  </si>
  <si>
    <t xml:space="preserve">Seattle — Pike Place / 1st Ave / Post Alley area</t>
  </si>
  <si>
    <t xml:space="preserve">Personal (~$50–70)</t>
  </si>
  <si>
    <t xml:space="preserve">Options: The Pink Door (Pike Place, Italian, romantic), Matt's in the Market (upscale, reservations), Japonessa (sushi Capitol Hill). Light evening — you'll be tired from travel.</t>
  </si>
  <si>
    <t xml:space="preserve">9:30 PM</t>
  </si>
  <si>
    <t xml:space="preserve">Optional: Light walk — Pioneer Square or Waterfront</t>
  </si>
  <si>
    <t xml:space="preserve">Downtown Seattle</t>
  </si>
  <si>
    <t xml:space="preserve">Or head back early to rest for Saturday hike. Seattle Waterfront beautifully lit at night.</t>
  </si>
  <si>
    <t xml:space="preserve">Sat, Apr 11</t>
  </si>
  <si>
    <t xml:space="preserve">── OPTION A (RECOMMENDED): MT. RAINIER NATIONAL PARK ──</t>
  </si>
  <si>
    <t xml:space="preserve">6:30–7:00 AM</t>
  </si>
  <si>
    <t xml:space="preserve">Early breakfast at hotel + depart for Mt. Rainier</t>
  </si>
  <si>
    <t xml:space="preserve">Redmond Inn → Mount Rainier NP via SR-167 / SR-410 E</t>
  </si>
  <si>
    <t xml:space="preserve">~2.0 hrs to Paradise Visitor Center. Pack layers — weather changes fast. Bring snacks/lunch.</t>
  </si>
  <si>
    <t xml:space="preserve">9:00–9:30 AM</t>
  </si>
  <si>
    <t xml:space="preserve">Arrive at Mt. Rainier — Paradise area</t>
  </si>
  <si>
    <t xml:space="preserve">Henry M. Jackson Visitor Center, Paradise, WA 98398</t>
  </si>
  <si>
    <t xml:space="preserve">Personal (NPS entry $35/car)</t>
  </si>
  <si>
    <t xml:space="preserve">Most iconic viewpoint. Snow even in April. Stunning views of the summit and glaciers.</t>
  </si>
  <si>
    <t xml:space="preserve">9:30 AM–2:00 PM</t>
  </si>
  <si>
    <t xml:space="preserve">Hiking + exploration at Paradise</t>
  </si>
  <si>
    <t xml:space="preserve">Skyline Trail (5 mi loop, moderate) OR short Deadhorse Creek Trail (2 mi, easy) | Reflection Lakes if clear road</t>
  </si>
  <si>
    <t xml:space="preserve">Skyline Trail has best summit views. Reflection Lakes (~3 mi from Paradise) mirror the mountain on calm days.</t>
  </si>
  <si>
    <t xml:space="preserve">2:00–2:30 PM</t>
  </si>
  <si>
    <t xml:space="preserve">Detour: Narada Falls (10 min stop)</t>
  </si>
  <si>
    <t xml:space="preserve">Narada Falls pullout, Paradise Road E</t>
  </si>
  <si>
    <t xml:space="preserve">Gorgeous 168-ft waterfall. Very short walk from parking.</t>
  </si>
  <si>
    <t xml:space="preserve">2:30 PM</t>
  </si>
  <si>
    <t xml:space="preserve">Drive back to Redmond (~2 hrs)</t>
  </si>
  <si>
    <t xml:space="preserve">SR-410 W → SR-167 N → SR-520 or I-405</t>
  </si>
  <si>
    <t xml:space="preserve">Back by ~4:30–5 PM</t>
  </si>
  <si>
    <t xml:space="preserve">5:00 PM</t>
  </si>
  <si>
    <t xml:space="preserve">Dinner in Bellevue or Redmond</t>
  </si>
  <si>
    <t xml:space="preserve">Bellevue/Redmond area — relaxed dinner</t>
  </si>
  <si>
    <t xml:space="preserve">Personal (~$60–80)</t>
  </si>
  <si>
    <t xml:space="preserve">Options: Din Tai Fung Bellevue (dim sum, must go!), Facing East (Taiwanese), PF Chang's Bellevue.</t>
  </si>
  <si>
    <t xml:space="preserve">── OPTION B: NORTH CASCADES / DIABLO LAKE ──</t>
  </si>
  <si>
    <t xml:space="preserve">5:30 AM</t>
  </si>
  <si>
    <t xml:space="preserve">Early depart for Diablo Lake</t>
  </si>
  <si>
    <t xml:space="preserve">Redmond → North Cascades via SR-2 / US-2 / SR-20</t>
  </si>
  <si>
    <t xml:space="preserve">Personal (NPS free)</t>
  </si>
  <si>
    <t xml:space="preserve">~3–3.5 hrs each way. More remote, less crowds. Diablo Lake Overlook has surreal turquoise color. Plan for 11 AM arrival, depart by 2 PM, home by 5:30 PM. Long but worth it if weather is good.</t>
  </si>
  <si>
    <t xml:space="preserve">Sun, Apr 12</t>
  </si>
  <si>
    <t xml:space="preserve">7:30–8:00 AM</t>
  </si>
  <si>
    <t xml:space="preserve">Light breakfast at hotel (free breakfast included)</t>
  </si>
  <si>
    <t xml:space="preserve">Redmond Inn</t>
  </si>
  <si>
    <t xml:space="preserve">✓ Included</t>
  </si>
  <si>
    <t xml:space="preserve">Pack up, check out by noon (checkout by 12 PM)</t>
  </si>
  <si>
    <t xml:space="preserve">8:45 AM</t>
  </si>
  <si>
    <t xml:space="preserve">Drive to Enterprise return location (~15 min)</t>
  </si>
  <si>
    <t xml:space="preserve">2299 140th Ave NE Ste B, Bellevue WA 98005</t>
  </si>
  <si>
    <t xml:space="preserve">Return personal Costco car by 9:00 AM</t>
  </si>
  <si>
    <t xml:space="preserve">9:00 AM</t>
  </si>
  <si>
    <t xml:space="preserve">Return personal car / Pick up business car (same Enterprise location)</t>
  </si>
  <si>
    <t xml:space="preserve">2299 140th Ave NE Ste B, Bellevue WA 98005 | Business Conf: 2095306771COUNT | Rate Code: Z5MFR6</t>
  </si>
  <si>
    <t xml:space="preserve">Business Car</t>
  </si>
  <si>
    <t xml:space="preserve">✓ Office ($289.05 wk)</t>
  </si>
  <si>
    <t xml:space="preserve">Intermediate car, A/C, automatic. Seamless swap — same address!</t>
  </si>
  <si>
    <t xml:space="preserve">~10:00 AM</t>
  </si>
  <si>
    <t xml:space="preserve">Check in at Hyatt Regency Bellevue</t>
  </si>
  <si>
    <t xml:space="preserve">900 Bellevue Way NE, Bellevue WA 98004 | Conf: 150174RA018842 | Ph: 425-462-1234</t>
  </si>
  <si>
    <t xml:space="preserve">Business Hotel</t>
  </si>
  <si>
    <t xml:space="preserve">✓ Office ($300/nt × 6)</t>
  </si>
  <si>
    <t xml:space="preserve">High Floor With Lake View, Nonsmoking. Cancel by 12 PM if needed. Business center, fitness center.</t>
  </si>
  <si>
    <t xml:space="preserve">Afternoon</t>
  </si>
  <si>
    <t xml:space="preserve">Explore Bellevue / settle in</t>
  </si>
  <si>
    <t xml:space="preserve">Bellevue Downtown, Lincoln Square mall, Bellevue Downtown Park, Mercer Slough Nature Park</t>
  </si>
  <si>
    <t xml:space="preserve">First afternoon free — orientation day. Take a walk around Bellevue Square / waterfront.</t>
  </si>
  <si>
    <t xml:space="preserve">Evening</t>
  </si>
  <si>
    <t xml:space="preserve">Dinner in Bellevue / early rest</t>
  </si>
  <si>
    <t xml:space="preserve">Bellevue area</t>
  </si>
  <si>
    <t xml:space="preserve">Big prep before first work day Monday. Din Tai Fung, Seastar Restaurant, or Korean BBQ in K-town nearby.</t>
  </si>
  <si>
    <t xml:space="preserve">▸ BUSINESS PHASE  —  MON APR 13 – FRI APR 17  |  Meta Office (VSR / UVQ / OEP Team)</t>
  </si>
  <si>
    <t xml:space="preserve">Mon, Apr 13</t>
  </si>
  <si>
    <t xml:space="preserve">9:00 AM–5:00 PM</t>
  </si>
  <si>
    <t xml:space="preserve">Office — Meta team meetings (Day 1)</t>
  </si>
  <si>
    <t xml:space="preserve">Hyatt → Office | VSR/UVQ/OEP sessions</t>
  </si>
  <si>
    <t xml:space="preserve">Business</t>
  </si>
  <si>
    <t xml:space="preserve">GF: UW Seattle campus (see GF Plans sheet) | Evening: Kerry Park sunset + Capitol Hill dinner</t>
  </si>
  <si>
    <t xml:space="preserve">Tue, Apr 14</t>
  </si>
  <si>
    <t xml:space="preserve">Office — Meta team meetings (Day 2)</t>
  </si>
  <si>
    <t xml:space="preserve">Meta Seattle office</t>
  </si>
  <si>
    <t xml:space="preserve">GF: Pike Place Market + Seattle waterfront (by bus) | Evening: Space Needle + Seattle Center</t>
  </si>
  <si>
    <t xml:space="preserve">Wed, Apr 15</t>
  </si>
  <si>
    <t xml:space="preserve">Office — Meta team meetings (Day 3)</t>
  </si>
  <si>
    <t xml:space="preserve">GF: Bellevue Downtown + Lincoln Square (walkable from Hyatt) | Evening: Amazon Spheres (contact Krishna dai for guest access) + Fremont area</t>
  </si>
  <si>
    <t xml:space="preserve">Thu, Apr 16</t>
  </si>
  <si>
    <t xml:space="preserve">Office — Meta team meetings (Day 4)</t>
  </si>
  <si>
    <t xml:space="preserve">GF: Microsoft Visitor Center, Redmond (by bus) | Evening: Gas Works Park / Lake Union + dinner Capitol Hill</t>
  </si>
  <si>
    <t xml:space="preserve">Fri, Apr 17</t>
  </si>
  <si>
    <t xml:space="preserve">Office — Meta team meetings (Day 5, last)</t>
  </si>
  <si>
    <t xml:space="preserve">GF: Burke-Gilman Trail walk / South Lake Union (by bus) | After 5 PM: Depart for Leavenworth overnight (see Weekend Phase 2)</t>
  </si>
  <si>
    <t xml:space="preserve">▸ PERSONAL PHASE 2  —  FRI APR 17 EVENING – SAT APR 18 (Weekend #2) + SUN APR 19 DEPARTURE</t>
  </si>
  <si>
    <t xml:space="preserve">After 5 PM</t>
  </si>
  <si>
    <t xml:space="preserve">Leave office → drive to Leavenworth, WA</t>
  </si>
  <si>
    <t xml:space="preserve">Bellevue → Leavenworth via US-2 E (~2.5 hrs, 115 miles)</t>
  </si>
  <si>
    <t xml:space="preserve">Arrive Leavenworth ~7:30–8:00 PM. Bavarian village — evening stroll through Front St, wine bars, German dinner. Highly recommend staying overnight to fully enjoy Saturday morning.</t>
  </si>
  <si>
    <t xml:space="preserve">8:00–10:00 PM</t>
  </si>
  <si>
    <t xml:space="preserve">Dinner + evening in Leavenworth</t>
  </si>
  <si>
    <t xml:space="preserve">Front Street, Leavenworth WA</t>
  </si>
  <si>
    <t xml:space="preserve">Andreas Keller (German restaurant, great atmosphere), Watershed Café, or Visconti's Italian. Evening walk along the lit Bavarian streetscape.</t>
  </si>
  <si>
    <t xml:space="preserve">Sat, Apr 18</t>
  </si>
  <si>
    <t xml:space="preserve">7:00–10:00 AM</t>
  </si>
  <si>
    <t xml:space="preserve">Morning in Leavenworth — Icicle Creek Trail or town walk</t>
  </si>
  <si>
    <t xml:space="preserve">Icicle River Trail, Leavenworth | Or nearby Blackbird Island Loop (easy, 1.3 mi)</t>
  </si>
  <si>
    <t xml:space="preserve">Beautiful morning hike. Lavender fields nearby in season (check if open early April). Bakeries and coffee on Front St for a relaxed morning.</t>
  </si>
  <si>
    <t xml:space="preserve">10:00 AM</t>
  </si>
  <si>
    <t xml:space="preserve">Depart Leavenworth → Bellevue (~2.5 hrs)</t>
  </si>
  <si>
    <t xml:space="preserve">US-2 W → I-405 S</t>
  </si>
  <si>
    <t xml:space="preserve">Back in Bellevue by ~12:30 PM. Time for lunch and one last stop.</t>
  </si>
  <si>
    <t xml:space="preserve">1:00–3:00 PM</t>
  </si>
  <si>
    <t xml:space="preserve">Optional: Marina Park at Bellevue (sunset later if timing allows) OR Snoqualmie Falls (30 min from Bellevue)</t>
  </si>
  <si>
    <t xml:space="preserve">Meydenbauer Bay Park, Bellevue | OR Snoqualmie Falls, Snoqualmie WA</t>
  </si>
  <si>
    <t xml:space="preserve">Snoqualmie Falls: ~268 ft waterfall, stunning. Only 30 min detour on way back from Leavenworth. OR relax at Meydenbauer Bay Park waterfront before car return.</t>
  </si>
  <si>
    <t xml:space="preserve">4:45 PM</t>
  </si>
  <si>
    <t xml:space="preserve">Return business car to Enterprise (Bellevue)</t>
  </si>
  <si>
    <t xml:space="preserve">2299 140th Ave NE Ste B, Bellevue WA 98005 | Return by 5:00 PM</t>
  </si>
  <si>
    <t xml:space="preserve">Business Car Return</t>
  </si>
  <si>
    <t xml:space="preserve">Return by 5 PM sharp! Don't forget to fill gas if needed.</t>
  </si>
  <si>
    <t xml:space="preserve">~5:30 PM</t>
  </si>
  <si>
    <t xml:space="preserve">Check in at Redmond Inn (last night)</t>
  </si>
  <si>
    <t xml:space="preserve">17601 Redmond Way, Redmond WA 98052 | Conf: 988390562 | Priceline #311-046-973-95</t>
  </si>
  <si>
    <t xml:space="preserve">Personal ($86.97)</t>
  </si>
  <si>
    <t xml:space="preserve">King Room, sleeps 2. Free Breakfast. Cancellable before Apr 16. Bring photo ID + credit card.</t>
  </si>
  <si>
    <t xml:space="preserve">Farewell dinner near Redmond/Bellevue</t>
  </si>
  <si>
    <t xml:space="preserve">Redmond/Bellevue area</t>
  </si>
  <si>
    <t xml:space="preserve">Relax, pack for tomorrow. Nice dinner — Bing's Bar &amp; Grill, Matador Redmond, or revisit Din Tai Fung if you missed it.</t>
  </si>
  <si>
    <t xml:space="preserve">Sun, Apr 19</t>
  </si>
  <si>
    <t xml:space="preserve">Morning</t>
  </si>
  <si>
    <t xml:space="preserve">Free hotel breakfast + light morning (no car)</t>
  </si>
  <si>
    <t xml:space="preserve">Redmond Inn — free breakfast included</t>
  </si>
  <si>
    <t xml:space="preserve">Check out by 12 PM. No car — but SEA is 30 min by Uber or Link Light Rail.</t>
  </si>
  <si>
    <t xml:space="preserve">9:00–11:30 AM</t>
  </si>
  <si>
    <t xml:space="preserve">Light morning explore — Redmond Town Center or Bellevue Square by Uber</t>
  </si>
  <si>
    <t xml:space="preserve">Redmond Town Center | OR Bellevue Downtown via Uber (~10 min, $12)</t>
  </si>
  <si>
    <t xml:space="preserve">Last chance for souvenirs. Crossroads Bellevue (global food court) for a fun brunch option. Or just relax and read at the hotel pool.</t>
  </si>
  <si>
    <t xml:space="preserve">12:00 PM</t>
  </si>
  <si>
    <t xml:space="preserve">Grab lunch + head to airport via Uber/Lyft</t>
  </si>
  <si>
    <t xml:space="preserve">Redmond → SEA via Uber (~40 min, ~$45–55)</t>
  </si>
  <si>
    <t xml:space="preserve">Personal (~$50)</t>
  </si>
  <si>
    <t xml:space="preserve">Leave by 1:00 PM at latest for 3:59 PM flight. Uber/Lyft recommended — no rental car.</t>
  </si>
  <si>
    <t xml:space="preserve">~1:30–2:00 PM</t>
  </si>
  <si>
    <t xml:space="preserve">Arrive SEA Airport — check in, security</t>
  </si>
  <si>
    <t xml:space="preserve">Seattle-Tacoma Intl Airport (SEA)</t>
  </si>
  <si>
    <t xml:space="preserve">Arrive 2+ hrs before departure. Alaska Airlines check-in: ILTFTW. Seat 11C confirmed.</t>
  </si>
  <si>
    <t xml:space="preserve">3:59 PM</t>
  </si>
  <si>
    <t xml:space="preserve">Depart SEA → SJC (Alaska Airlines AS0521)</t>
  </si>
  <si>
    <t xml:space="preserve">SEA Airport | Seat 11C | Conf: ILTFTW</t>
  </si>
  <si>
    <t xml:space="preserve">Nonstop, ~2h 12m | Arrives SJC 6:11 PM</t>
  </si>
  <si>
    <t xml:space="preserve">6:11 PM</t>
  </si>
  <si>
    <t xml:space="preserve">Arrive San Jose (SJC)</t>
  </si>
  <si>
    <t xml:space="preserve">SJC Terminal B</t>
  </si>
  <si>
    <t xml:space="preserve">Trip complete!</t>
  </si>
  <si>
    <t xml:space="preserve">SEATTLE EVENING &amp; WEEKEND ACTIVITY GUIDE</t>
  </si>
  <si>
    <t xml:space="preserve">For Ayush + GF — evenings after 5-6 PM (with car) and weekends</t>
  </si>
  <si>
    <t xml:space="preserve">Day / Timing</t>
  </si>
  <si>
    <t xml:space="preserve">Activity / Destination</t>
  </si>
  <si>
    <t xml:space="preserve">Drive from Hyatt/Bellevue</t>
  </si>
  <si>
    <t xml:space="preserve">Cost Est.</t>
  </si>
  <si>
    <t xml:space="preserve">Best Time</t>
  </si>
  <si>
    <t xml:space="preserve">Must Book?</t>
  </si>
  <si>
    <t xml:space="preserve">Notes</t>
  </si>
  <si>
    <t xml:space="preserve">MUST-GO SPOTS</t>
  </si>
  <si>
    <t xml:space="preserve">Any evening</t>
  </si>
  <si>
    <t xml:space="preserve">🏔 Kerry Park — Seattle skyline view</t>
  </si>
  <si>
    <t xml:space="preserve">~25 min (13 mi via SR-520)</t>
  </si>
  <si>
    <t xml:space="preserve">Free</t>
  </si>
  <si>
    <t xml:space="preserve">Sunset (7–8 PM in April)</t>
  </si>
  <si>
    <t xml:space="preserve">No</t>
  </si>
  <si>
    <t xml:space="preserve">Best viewpoint in Seattle. Unobstructed view of Space Needle + Mt Rainier on clear evenings. W Highland Dr, Seattle. Small park — park on street.</t>
  </si>
  <si>
    <t xml:space="preserve">🚀 Space Needle — Observation Deck</t>
  </si>
  <si>
    <t xml:space="preserve">~25 min (SR-520 → I-5)</t>
  </si>
  <si>
    <t xml:space="preserve">$35–40/person</t>
  </si>
  <si>
    <t xml:space="preserve">Sunset / evening</t>
  </si>
  <si>
    <t xml:space="preserve">Yes — book online</t>
  </si>
  <si>
    <t xml:space="preserve">Seattle Center campus. Combo tickets with Chihuly Garden. Check cloudy forecast — pointless if overcast. spaceneedle.com</t>
  </si>
  <si>
    <t xml:space="preserve">🌿 Amazon Spheres</t>
  </si>
  <si>
    <t xml:space="preserve">Free (employee guest)</t>
  </si>
  <si>
    <t xml:space="preserve">Daytime or evening tour</t>
  </si>
  <si>
    <t xml:space="preserve">Contact Krishna dai for guest pass</t>
  </si>
  <si>
    <t xml:space="preserve">Need an Amazon employee guest invite. Exterior free anytime. Interior: Thurs–Sun tours for public, but guest access best. 2111 7th Ave, Seattle.</t>
  </si>
  <si>
    <t xml:space="preserve">⛵ Marina Park (Meydenbauer Bay) — Sunset</t>
  </si>
  <si>
    <t xml:space="preserve">~10 min (Bellevue)</t>
  </si>
  <si>
    <t xml:space="preserve">Sunset (~7:30–8 PM)</t>
  </si>
  <si>
    <t xml:space="preserve">Beautiful waterfront park with dock and views of Lake Washington. Perfect for a short sunset walk. Right next to Hyatt (~1 mile). 98 105th Ave NE, Bellevue.</t>
  </si>
  <si>
    <t xml:space="preserve">SEATTLE NEIGHBORHOODS</t>
  </si>
  <si>
    <t xml:space="preserve">Mon Apr 13 evening</t>
  </si>
  <si>
    <t xml:space="preserve">🌆 Kerry Park → Capitol Hill dinner</t>
  </si>
  <si>
    <t xml:space="preserve">~25 min</t>
  </si>
  <si>
    <t xml:space="preserve">$60–90/dinner</t>
  </si>
  <si>
    <t xml:space="preserve">6:30–9 PM</t>
  </si>
  <si>
    <t xml:space="preserve">Reservation recommended</t>
  </si>
  <si>
    <t xml:space="preserve">Capitol Hill: Altura (Italian, upscale), Poppy (Pacific NW), Ba Bar (Vietnamese). Walk 15th Ave E for neighborhood vibe.</t>
  </si>
  <si>
    <t xml:space="preserve">Tue Apr 14 evening</t>
  </si>
  <si>
    <t xml:space="preserve">🚀 Seattle Center — Space Needle + Chihuly</t>
  </si>
  <si>
    <t xml:space="preserve">$50–70/person</t>
  </si>
  <si>
    <t xml:space="preserve">5:30–9 PM</t>
  </si>
  <si>
    <t xml:space="preserve">Book Space Needle online</t>
  </si>
  <si>
    <t xml:space="preserve">Space Needle at sunset, then walk to Chihuly Garden (glass art, stunning at night). Dinner: Armory food court inside Seattle Center, or nearby Canlis (upscale, reservation way ahead).</t>
  </si>
  <si>
    <t xml:space="preserve">Wed Apr 15 evening</t>
  </si>
  <si>
    <t xml:space="preserve">🌐 Amazon Spheres + South Lake Union + Fremont</t>
  </si>
  <si>
    <t xml:space="preserve">Free + dinner $60</t>
  </si>
  <si>
    <t xml:space="preserve">Amazon guest pass needed</t>
  </si>
  <si>
    <t xml:space="preserve">Amazon Spheres exterior + Doppler Campus selfie. Then Fremont: Gas Works Park waterfront, Fremont Troll under Aurora Bridge, Sunday Market (not this day but area is fun). Dinner: Revel Fremont (Korean fusion, excellent).</t>
  </si>
  <si>
    <t xml:space="preserve">Thu Apr 16 evening</t>
  </si>
  <si>
    <t xml:space="preserve">⛽ Gas Works Park → Eastlake → Ballard</t>
  </si>
  <si>
    <t xml:space="preserve">Gas Works Park: Industrial waterfront park on Lake Union — amazing city skyline view. Then Ballard: Scandinavian neighborhood. Dinner: Stoneburner at Ballard Inn, The Walrus and the Carpenter (oysters, get there early).</t>
  </si>
  <si>
    <t xml:space="preserve">Fri Apr 17 noon onwards</t>
  </si>
  <si>
    <t xml:space="preserve">🏔 LEAVENWORTH OVERNIGHT TRIP</t>
  </si>
  <si>
    <t xml:space="preserve">~2.5 hrs (115 mi)</t>
  </si>
  <si>
    <t xml:space="preserve">$120–200 (hotel + dinner)</t>
  </si>
  <si>
    <t xml:space="preserve">Leave 5 PM Fri, return Sat noon</t>
  </si>
  <si>
    <t xml:space="preserve">BOOK HOTEL IN LEAVENWORTH</t>
  </si>
  <si>
    <t xml:space="preserve">Bavarian-themed village in Cascades. Highly recommend staying overnight — evening atmosphere magical. Icicle River Trail (easy hike), wine tasting at Icicle Ridge Winery. Check availability: hotels.com or VRBO for Fri Apr 17.</t>
  </si>
  <si>
    <t xml:space="preserve">WEEKEND DAY TRIPS (with car)</t>
  </si>
  <si>
    <t xml:space="preserve">Sat Apr 11 (recommended)</t>
  </si>
  <si>
    <t xml:space="preserve">🏔 Mt. Rainier National Park — Paradise area</t>
  </si>
  <si>
    <t xml:space="preserve">~2 hrs (94 mi via SR-167 S)</t>
  </si>
  <si>
    <t xml:space="preserve">$35/car entry fee + gas</t>
  </si>
  <si>
    <t xml:space="preserve">Full day (7 AM – 5 PM)</t>
  </si>
  <si>
    <t xml:space="preserve">No (pay at gate)</t>
  </si>
  <si>
    <t xml:space="preserve">Paradise Visitor Center, Skyline Trail (5 mi, moderate), Reflection Lakes. Snow likely in April — wear layers. Best Pacific NW experience. Highly recommended!</t>
  </si>
  <si>
    <t xml:space="preserve">Sat Apr 11 (alternative)</t>
  </si>
  <si>
    <t xml:space="preserve">🌊 Diablo Lake / North Cascades NP</t>
  </si>
  <si>
    <t xml:space="preserve">~3 hrs (110 mi via SR-20)</t>
  </si>
  <si>
    <t xml:space="preserve">Free NPS entry</t>
  </si>
  <si>
    <t xml:space="preserve">Very full day (5:30 AM – 6 PM)</t>
  </si>
  <si>
    <t xml:space="preserve">Stunning turquoise glacier-fed lake. Diablo Lake Overlook pull-off. SR-20 may have limited access in April (check road openings). Washington Pass Overlook nearby. Very long drive — commit to early start.</t>
  </si>
  <si>
    <t xml:space="preserve">Sat Apr 18</t>
  </si>
  <si>
    <t xml:space="preserve">🏘 Leavenworth (if not done Fri night)</t>
  </si>
  <si>
    <t xml:space="preserve">~2.5 hrs</t>
  </si>
  <si>
    <t xml:space="preserve">$80–120/day</t>
  </si>
  <si>
    <t xml:space="preserve">Leave 7–8 AM, back by 3–4 PM</t>
  </si>
  <si>
    <t xml:space="preserve">Morning hike on Icicle Creek Trail, Front Street breakfast, wine tasting. Need to be back by 4:30 PM to return car by 5 PM.</t>
  </si>
  <si>
    <t xml:space="preserve">💦 Snoqualmie Falls (on way back from Leavenworth)</t>
  </si>
  <si>
    <t xml:space="preserve">~30 min from Bellevue</t>
  </si>
  <si>
    <t xml:space="preserve">Free (parking $5)</t>
  </si>
  <si>
    <t xml:space="preserve">Any time</t>
  </si>
  <si>
    <t xml:space="preserve">268-ft waterfall, short walk to viewpoints. 5-min walk from parking lot for upper view, or 30-min hike to base. Salish Lodge restaurant for brunch ($40/pp).</t>
  </si>
  <si>
    <t xml:space="preserve">EASY / NO-CAR-NEEDED</t>
  </si>
  <si>
    <t xml:space="preserve">🛍 Bellevue Square / Lincoln Square</t>
  </si>
  <si>
    <t xml:space="preserve">Walk from Hyatt (~5 min)</t>
  </si>
  <si>
    <t xml:space="preserve">Variable</t>
  </si>
  <si>
    <t xml:space="preserve">Nordstrom, luxury boutiques, Apple Store. Lincoln Square has restaurants + Cinemark theater if you want a movie night.</t>
  </si>
  <si>
    <t xml:space="preserve">🍜 Din Tai Fung Bellevue</t>
  </si>
  <si>
    <t xml:space="preserve">Walk / 5 min drive</t>
  </si>
  <si>
    <t xml:space="preserve">$40–60/person</t>
  </si>
  <si>
    <t xml:space="preserve">7 PM+ (less wait)</t>
  </si>
  <si>
    <t xml:space="preserve">Reservation or early arrival</t>
  </si>
  <si>
    <t xml:space="preserve">Famous Taiwanese dim sum chain — soup dumplings (xiaolongbao) are legendary. Located in Lincoln Square South. Reserve online!</t>
  </si>
  <si>
    <t xml:space="preserve">🎨 Bellevue Arts Museum (BAM)</t>
  </si>
  <si>
    <t xml:space="preserve">$15/person</t>
  </si>
  <si>
    <t xml:space="preserve">Any day open</t>
  </si>
  <si>
    <t xml:space="preserve">Rotating modern art exhibits. Small but curated. 510 Bellevue Way NE.</t>
  </si>
  <si>
    <t xml:space="preserve">🌅 Meydenbauer Bay Park — Sunset walk</t>
  </si>
  <si>
    <t xml:space="preserve">Walk or 5 min drive</t>
  </si>
  <si>
    <t xml:space="preserve">Sunset</t>
  </si>
  <si>
    <t xml:space="preserve">Right near the Hyatt. Lake Washington waterfront park. Perfect for a quiet evening walk.</t>
  </si>
  <si>
    <t xml:space="preserve">GF DAYTIME PLANS — Weekdays While Ayush is in Office (Mon Apr 13 – Fri Apr 17)</t>
  </si>
  <si>
    <t xml:space="preserve">No car available during day | Base: Hyatt Regency Bellevue, 900 Bellevue Way NE | Easy transit access to Seattle and nearby areas</t>
  </si>
  <si>
    <t xml:space="preserve">Key transit: 550 Express Bus (Bellevue TC → Downtown Seattle, ~30 min, $2.75) | Sound Transit Link Light Rail | King County Metro</t>
  </si>
  <si>
    <t xml:space="preserve">Day</t>
  </si>
  <si>
    <t xml:space="preserve">Suggested Plan</t>
  </si>
  <si>
    <t xml:space="preserve">Transit Route</t>
  </si>
  <si>
    <t xml:space="preserve">Est. Duration</t>
  </si>
  <si>
    <t xml:space="preserve">Key Tips</t>
  </si>
  <si>
    <t xml:space="preserve">University of Washington (UW) Campus + University District
• Red Square + Suzzallo Library (Gothic reading room — stunning)
• UW Botanic Gardens (free)
• 'The Ave' (University Way NE) for cafes, ramen, bubble tea
• Burke Museum if interested in natural history</t>
  </si>
  <si>
    <t xml:space="preserve">From Hyatt: Walk 5 min to Bellevue Transit Center → 550 Express Bus to Westlake Station (Seattle) → Link Light Rail to University of Washington Station (~45 min total)</t>
  </si>
  <si>
    <t xml:space="preserve">9:00 AM – 3:00 PM (full half-day)</t>
  </si>
  <si>
    <t xml:space="preserve">~$10–15 (transit + food)</t>
  </si>
  <si>
    <t xml:space="preserve">Suzzallo Library interior is jaw-dropping — worth a peek even if not a student. UW campus is beautiful in spring. Walk along the waterfront on Portage Bay for bonus views.</t>
  </si>
  <si>
    <t xml:space="preserve">Pike Place Market + Seattle Waterfront + Olympic Sculpture Park
• Pike Place Market — market vendors, Rachel the Pig, Original Starbucks
• Seattle Waterfront walk (Pike St to Olympic Sculpture Park)
• Olympic Sculpture Park (free, Alexander Calder's 'Eagle')
• Seattle Aquarium (optional, $35)
• Post Alley + Gum Wall (weird but iconic)</t>
  </si>
  <si>
    <t xml:space="preserve">From Hyatt: Walk to Bellevue TC → 550 Express → Westlake → Walk 10 min to Pike Place (~50 min)</t>
  </si>
  <si>
    <t xml:space="preserve">9:00 AM – 3:00 PM</t>
  </si>
  <si>
    <t xml:space="preserve">~$15–40 (transit + lunch + optional aquarium)</t>
  </si>
  <si>
    <t xml:space="preserve">Arrive Pike Place by 10 AM before crowds. Original Starbucks at 1912 Pike Place — get a coffee! Gum Wall is at 1428 Post Alley. The waterfront walk is ~1.5 miles, mostly flat.</t>
  </si>
  <si>
    <t xml:space="preserve">Bellevue Downtown — Full Day Local Explore
• Bellevue Botanical Garden (free, 53 acres)
• Bellevue Downtown Park (1.5-mile loop, waterfall, fountain)
• Lincoln Square: shopping, Bellevue Arts Museum
• Crossroads Bellevue (international food hall)
• Main Street Bellevue cafes</t>
  </si>
  <si>
    <t xml:space="preserve">Walking + Uber within Bellevue (all within 1–2 miles of Hyatt)</t>
  </si>
  <si>
    <t xml:space="preserve">10:00 AM – 5:00 PM</t>
  </si>
  <si>
    <t xml:space="preserve">~$10–30 (lunch + BAM if visited)</t>
  </si>
  <si>
    <t xml:space="preserve">Bellevue Botanical Garden is free and gorgeous in April (rhododendrons bloom!). Bellevue Downtown Park has a nice loop walk with a waterfall feature. Great shopping at Lincoln Square for afternoon.</t>
  </si>
  <si>
    <t xml:space="preserve">Microsoft Visitor Center + Redmond Town Center + Marymoor Park
• Microsoft Visitor Center (free — exhibits on Microsoft history, Xbox, Surface, HoloLens) — Book online ahead
• Redmond Town Center (outdoor mall, walk)
• Marymoor Park (off-leash dog park area, Velodrome, picnic areas by Sammamish River)</t>
  </si>
  <si>
    <t xml:space="preserve">From Hyatt: Uber or 245 bus to Redmond (~20 min). Or Metro Route 245.</t>
  </si>
  <si>
    <t xml:space="preserve">10:00 AM – 4:00 PM</t>
  </si>
  <si>
    <t xml:space="preserve">~$5–15 (transport + lunch)</t>
  </si>
  <si>
    <t xml:space="preserve">Microsoft Visitor Center: 4420 148th Ave NE, Redmond. Free. Must book time slot online: microsoft.com/en-us/experience-center. Marymoor Park: great for a walk by the river.</t>
  </si>
  <si>
    <t xml:space="preserve">South Lake Union (SLU) + Denny Triangle + Capitol Hill (Optional)
• Museum of History and Industry (MOHAI) — Seattle history, Lake Union views ($20)
• Center for Wooden Boats (free or $5 — waterfront, historic boats)
• South Lake Union waterfront stroll
• Whole Foods SLU (flagship store — great lunch spot)
• Capitol Hill: stroll Broadway, Pine St cafes (if energy after)</t>
  </si>
  <si>
    <t xml:space="preserve">From Hyatt: 550 Bus → Westlake → Transfer to 8 or walk (~55 min total)</t>
  </si>
  <si>
    <t xml:space="preserve">~$20–40</t>
  </si>
  <si>
    <t xml:space="preserve">MOHAI is highly recommended — great for understanding Seattle/Pacific NW history. Center for Wooden Boats rents rowboats and sailboats on Lake Union. SLU neighborhood has excellent coffee shops (Caffe Vita, Rachel's Ginger Beer nearby).</t>
  </si>
  <si>
    <t xml:space="preserve">SEATTLE TRIP — BOOKING &amp; ACTION ITEMS CHECKLIST</t>
  </si>
  <si>
    <t xml:space="preserve">#</t>
  </si>
  <si>
    <t xml:space="preserve">Item</t>
  </si>
  <si>
    <t xml:space="preserve">Category</t>
  </si>
  <si>
    <t xml:space="preserve">Details</t>
  </si>
  <si>
    <t xml:space="preserve">Status</t>
  </si>
  <si>
    <t xml:space="preserve">Flight SJC → SEA (Alaska AS1406)</t>
  </si>
  <si>
    <t xml:space="preserve">Flights</t>
  </si>
  <si>
    <t xml:space="preserve">Apr 10 | SJC 8:00 AM → SEA 10:20 AM | Seat 15C | Conf: ILTFTW | Ticket: 0277429614298 | CWT/Meta booking</t>
  </si>
  <si>
    <t xml:space="preserve">✓ BOOKED (ILTFTW)</t>
  </si>
  <si>
    <t xml:space="preserve">Flight SEA → SJC (Alaska AS0521)</t>
  </si>
  <si>
    <t xml:space="preserve">Apr 19 | SEA 3:59 PM → SJC 6:11 PM | Seat 11C | Conf: ILTFTW | Same booking</t>
  </si>
  <si>
    <t xml:space="preserve">Redmond Inn — Apr 10–12 (personal)</t>
  </si>
  <si>
    <t xml:space="preserve">Hotel</t>
  </si>
  <si>
    <t xml:space="preserve">17601 Redmond Way, Redmond WA 98052 | Check-in Apr 10 after 3 PM | Check-out Apr 12 by noon | Conf: 987320458 | Priceline #308-977-923-95 | $150.08 | Free breakfast, parking, pool | 1 King Bed | NON-REFUNDABLE</t>
  </si>
  <si>
    <t xml:space="preserve">✓ BOOKED (987320458)</t>
  </si>
  <si>
    <t xml:space="preserve">Redmond Inn — Apr 18–19 (personal)</t>
  </si>
  <si>
    <t xml:space="preserve">Same hotel | Check-in Apr 18 after 3 PM | Check-out Apr 19 by noon | Conf: 988390562 | Priceline #311-046-973-95 | $86.97 | King Room (sleeps 2) | Refundable before Apr 16</t>
  </si>
  <si>
    <t xml:space="preserve">✓ BOOKED (988390562)</t>
  </si>
  <si>
    <t xml:space="preserve">Hyatt Regency Bellevue — Apr 12–18 (business)</t>
  </si>
  <si>
    <t xml:space="preserve">900 Bellevue Way NE, Bellevue WA 98004 | Check-in Apr 12 | Check-out Apr 18 | Conf: 150174RA018842 | $300/night × 6 = $1,800 | High Floor Lake View | Cancel by 12 PM | Meta / CWT booking</t>
  </si>
  <si>
    <t xml:space="preserve">✓ BOOKED (150174RA018842)</t>
  </si>
  <si>
    <t xml:space="preserve">Enterprise rental car — personal (Costco, Apr 10–12)</t>
  </si>
  <si>
    <t xml:space="preserve">Car Rental</t>
  </si>
  <si>
    <t xml:space="preserve">2299 140th Ave NE Ste B, Bellevue WA 98005 | Pick-up Apr 10 11:00 AM | Drop-off Apr 12 9:00 AM | Costco Conf: C487837485 | Enterprise Conf: 2095364762 | Toyota Corolla or similar | $89.27 | Unlimited mileage | Bring Costco membership card!</t>
  </si>
  <si>
    <t xml:space="preserve">✓ BOOKED (C487837485)</t>
  </si>
  <si>
    <t xml:space="preserve">Enterprise rental car — business (Meta, Apr 12–18)</t>
  </si>
  <si>
    <t xml:space="preserve">Same location: 2299 140th Ave NE Ste B, Bellevue WA | Pick-up Apr 12 9:00 AM | Drop-off Apr 18 5:00 PM | Conf: 2095306771COUNT | Rate Code: Z5MFR6 | $289.05 | Corporate Discount: XZ23920</t>
  </si>
  <si>
    <t xml:space="preserve">✓ BOOKED (2095306771COUNT)</t>
  </si>
  <si>
    <t xml:space="preserve">Contact Krishna dai for Amazon Spheres guest access</t>
  </si>
  <si>
    <t xml:space="preserve">Activities</t>
  </si>
  <si>
    <t xml:space="preserve">Amazon Spheres, 2111 7th Ave, Seattle. Interior tours need Amazon employee guest pass. Contact Krishna dai ASAP. Plan for Wednesday Apr 15 evening.</t>
  </si>
  <si>
    <t xml:space="preserve">Needs action</t>
  </si>
  <si>
    <t xml:space="preserve">Book Space Needle tickets online</t>
  </si>
  <si>
    <t xml:space="preserve">spaceneedle.com | ~$35–40/person | Book in advance for sunset slot (around 7:30–8 PM in April) | Plan for Tue Apr 14 evening</t>
  </si>
  <si>
    <t xml:space="preserve">Book online</t>
  </si>
  <si>
    <t xml:space="preserve">Book hotel in Leavenworth for Fri Apr 17 night</t>
  </si>
  <si>
    <t xml:space="preserve">Leavenworth, WA | Bavarian inn / lodge | Budget: $120–200 | Check: hotels.com, VRBO, Airbnb | Icicle Inn, Posthotel Leavenworth, or similar | Popular — book early!</t>
  </si>
  <si>
    <t xml:space="preserve">Needs booking</t>
  </si>
  <si>
    <t xml:space="preserve">Reserve Din Tai Fung Bellevue</t>
  </si>
  <si>
    <t xml:space="preserve">Dining</t>
  </si>
  <si>
    <t xml:space="preserve">Lincoln Square South, 700 Bellevue Way NE | Reserve on Tock or walk in | Long waits on weekends | Try Sun Apr 12 or any weeknight</t>
  </si>
  <si>
    <t xml:space="preserve">Reserve</t>
  </si>
  <si>
    <t xml:space="preserve">Book Microsoft Visitor Center time slot</t>
  </si>
  <si>
    <t xml:space="preserve">microsoft.com/en-us/experience-center | Free | Book online time slot for Thu Apr 17 (for GF)</t>
  </si>
  <si>
    <t xml:space="preserve">Buy National Parks Pass or cash for Mt. Rainier</t>
  </si>
  <si>
    <t xml:space="preserve">America the Beautiful Annual Pass ($80) covers all NPS for 1 year OR pay $35/car at gate. Annual pass worth it if you visit other parks.</t>
  </si>
  <si>
    <t xml:space="preserve">Decide + buy</t>
  </si>
  <si>
    <t xml:space="preserve">Check North Cascades SR-20 road opening (if doing Diablo Lake)</t>
  </si>
  <si>
    <t xml:space="preserve">SR-20 (North Cascades Highway) is typically closed in winter and opens in mid-April. Check: nps.gov/noca or wsdot.wa.gov | If closed, pivot to Option A (Mt. Rainier).</t>
  </si>
  <si>
    <t xml:space="preserve">Check wsdot.wa.gov</t>
  </si>
  <si>
    <t xml:space="preserve">Alaska Airlines online check-in</t>
  </si>
  <si>
    <t xml:space="preserve">Check in online 24 hrs before both flights. Print/save boarding passes. Mileage: AS-320119833</t>
  </si>
  <si>
    <t xml:space="preserve">Do 24h before</t>
  </si>
  <si>
    <t xml:space="preserve">Arrange airport transport Apr 19 (no car)</t>
  </si>
  <si>
    <t xml:space="preserve">Transport</t>
  </si>
  <si>
    <t xml:space="preserve">Return business car Apr 18 5 PM. Need Uber/Lyft from Redmond Inn → SEA on Apr 19 (~40 min, ~$45–55). Book in advance or schedule Uber.</t>
  </si>
  <si>
    <t xml:space="preserve">Book Uber day before</t>
  </si>
  <si>
    <t xml:space="preserve">SEATTLE TRIP — BUDGET ESTIMATE</t>
  </si>
  <si>
    <t xml:space="preserve">✓ Office Covered: Flights + Hyatt Regency + Business Enterprise car  |  Personal: Redmond Inn, Costco car, activities, dining</t>
  </si>
  <si>
    <t xml:space="preserve">Amount (USD)</t>
  </si>
  <si>
    <t xml:space="preserve">Covered By</t>
  </si>
  <si>
    <t xml:space="preserve">OFFICE / BUSINESS COVERED</t>
  </si>
  <si>
    <t xml:space="preserve">Flights SJC↔SEA (Alaska, RT)</t>
  </si>
  <si>
    <t xml:space="preserve">✓ Meta/Office</t>
  </si>
  <si>
    <t xml:space="preserve">Ticket 0277429614298 | Conf ILTFTW | $563.39 + $73.05 taxes</t>
  </si>
  <si>
    <t xml:space="preserve">Hyatt Regency Bellevue (6 nights)</t>
  </si>
  <si>
    <t xml:space="preserve">$300/night × 6 | Apr 12–18 | Conf 150174RA018842</t>
  </si>
  <si>
    <t xml:space="preserve">Enterprise rental car — business</t>
  </si>
  <si>
    <t xml:space="preserve">Apr 12–18 | Conf 2095306771COUNT | Corporate rate Z5MFR6</t>
  </si>
  <si>
    <t xml:space="preserve">Food &amp; misc during work days</t>
  </si>
  <si>
    <t xml:space="preserve">~$100/day × 5 business days covered per user</t>
  </si>
  <si>
    <t xml:space="preserve">OFFICE SUBTOTAL</t>
  </si>
  <si>
    <t xml:space="preserve">Meta</t>
  </si>
  <si>
    <t xml:space="preserve">PERSONAL EXPENSE</t>
  </si>
  <si>
    <t xml:space="preserve">Redmond Inn — Apr 10–12 (2 nights)</t>
  </si>
  <si>
    <t xml:space="preserve">Priceline Conf 987320458 | Non-refundable | Free breakfast included</t>
  </si>
  <si>
    <t xml:space="preserve">Redmond Inn — Apr 18–19 (1 night)</t>
  </si>
  <si>
    <t xml:space="preserve">Priceline Conf 988390562 | Refundable before Apr 16 | Free breakfast</t>
  </si>
  <si>
    <t xml:space="preserve">Costco/Enterprise rental car — personal</t>
  </si>
  <si>
    <t xml:space="preserve">Apr 10–12 | Costco Conf C487837485 | Due at agency</t>
  </si>
  <si>
    <t xml:space="preserve">Leavenworth hotel (1 night, Fri Apr 17)</t>
  </si>
  <si>
    <t xml:space="preserve">Still needs booking | Budget: $120–200 depending on option</t>
  </si>
  <si>
    <t xml:space="preserve">Mt. Rainier NP entry</t>
  </si>
  <si>
    <t xml:space="preserve">$35/car (or America the Beautiful pass $80 — better value if visiting more parks)</t>
  </si>
  <si>
    <t xml:space="preserve">Space Needle tickets (2 pax)</t>
  </si>
  <si>
    <t xml:space="preserve">~$35–40/pp | Book online</t>
  </si>
  <si>
    <t xml:space="preserve">Activities (Amazon Spheres, museums, etc)</t>
  </si>
  <si>
    <t xml:space="preserve">Amazon: free with guest pass | BAM $15/pp | Other ~$20</t>
  </si>
  <si>
    <t xml:space="preserve">Food &amp; dining — personal days (3 days × $100)</t>
  </si>
  <si>
    <t xml:space="preserve">~$100/day: Apr 10, 11, 18 (personal days) + evening splurges</t>
  </si>
  <si>
    <t xml:space="preserve">Food — evenings during work week (5 evenings × $80)</t>
  </si>
  <si>
    <t xml:space="preserve">Dinners out: ~$60–100/night for 2 people</t>
  </si>
  <si>
    <t xml:space="preserve">Transport / Uber (airport, misc)</t>
  </si>
  <si>
    <t xml:space="preserve">SEA to/from airport (~$50 each) + misc Ubers during daytime/weekend</t>
  </si>
  <si>
    <t xml:space="preserve">Shopping / souvenirs / misc</t>
  </si>
  <si>
    <t xml:space="preserve">Pike Place, REI, Bellevue Square</t>
  </si>
  <si>
    <t xml:space="preserve">PERSONAL SUBTOTAL</t>
  </si>
  <si>
    <t xml:space="preserve">TOTAL PERSONAL OUT-OF-POCKET</t>
  </si>
  <si>
    <t xml:space="preserve">Excludes office-covered items</t>
  </si>
  <si>
    <t xml:space="preserve">ALL BOOKING CONFIRMATION DETAILS</t>
  </si>
  <si>
    <t xml:space="preserve">Booking</t>
  </si>
  <si>
    <t xml:space="preserve">Confirmation #</t>
  </si>
  <si>
    <t xml:space="preserve">Provider</t>
  </si>
  <si>
    <t xml:space="preserve">Dates</t>
  </si>
  <si>
    <t xml:space="preserve">Cost</t>
  </si>
  <si>
    <t xml:space="preserve">Outbound Flight — AS1406</t>
  </si>
  <si>
    <t xml:space="preserve">ILTFTW</t>
  </si>
  <si>
    <t xml:space="preserve">Alaska Airlines / CWT Meta</t>
  </si>
  <si>
    <t xml:space="preserve">Fri Apr 10 | 8:00 AM SJC → 10:20 AM SEA</t>
  </si>
  <si>
    <t xml:space="preserve">SJC Terminal B, Seat 15C | Boeing 737-800 | Economy (M) | E-Ticket: 0277429614298 | Mileage: AS-320119833</t>
  </si>
  <si>
    <t xml:space="preserve">$636.44 (total RT)</t>
  </si>
  <si>
    <t xml:space="preserve">✓ Confirmed</t>
  </si>
  <si>
    <t xml:space="preserve">Return Flight — AS0521</t>
  </si>
  <si>
    <t xml:space="preserve">Sun Apr 19 | 3:59 PM SEA → 6:11 PM SJC</t>
  </si>
  <si>
    <t xml:space="preserve">SEA Airport, Seat 11C | 73J Aircraft | Economy (K) | Same e-ticket</t>
  </si>
  <si>
    <t xml:space="preserve">(included above)</t>
  </si>
  <si>
    <t xml:space="preserve">Personal Hotel — Redmond Inn (Apr 10–12)</t>
  </si>
  <si>
    <t xml:space="preserve">987320458</t>
  </si>
  <si>
    <t xml:space="preserve">Priceline / Agoda (#308-977-923-95)</t>
  </si>
  <si>
    <t xml:space="preserve">Check-in Fri Apr 10 (after 3 PM) | Check-out Sun Apr 12 (by noon)</t>
  </si>
  <si>
    <t xml:space="preserve">17601 Redmond Way, Redmond WA 98052 | Ph: 425-883-4900 | 1 King Bed | Free WiFi/Breakfast/Parking/Pool | NON-REFUNDABLE</t>
  </si>
  <si>
    <t xml:space="preserve">$150.08 (paid)</t>
  </si>
  <si>
    <t xml:space="preserve">Personal Hotel — Redmond Inn (Apr 18–19)</t>
  </si>
  <si>
    <t xml:space="preserve">988390562</t>
  </si>
  <si>
    <t xml:space="preserve">Priceline / Agoda (#311-046-973-95)</t>
  </si>
  <si>
    <t xml:space="preserve">Check-in Sat Apr 18 (after 3 PM) | Check-out Sun Apr 19 (by noon)</t>
  </si>
  <si>
    <t xml:space="preserve">Same hotel | King Room (sleeps 2) | Cancel by Apr 16 for full refund | Pets not allowed | Credit card at check-in</t>
  </si>
  <si>
    <t xml:space="preserve">$86.97 (paid)</t>
  </si>
  <si>
    <t xml:space="preserve">Business Hotel — Hyatt Regency Bellevue</t>
  </si>
  <si>
    <t xml:space="preserve">150174RA018842</t>
  </si>
  <si>
    <t xml:space="preserve">Hyatt / CWT Meta</t>
  </si>
  <si>
    <t xml:space="preserve">Check-in Sun Apr 12 | Check-out Sat Apr 18 (6 nights)</t>
  </si>
  <si>
    <t xml:space="preserve">900 Bellevue Way NE, Bellevue WA 98004 | Ph: 425-462-1234 | High Floor Lake View | Cancel by 12 PM Apr 12</t>
  </si>
  <si>
    <t xml:space="preserve">$1,800 (Meta)</t>
  </si>
  <si>
    <t xml:space="preserve">Personal Car — Costco/Enterprise (Apr 10–12)</t>
  </si>
  <si>
    <t xml:space="preserve">C487837485 / 2095364762</t>
  </si>
  <si>
    <t xml:space="preserve">Costco Travel / Enterprise</t>
  </si>
  <si>
    <t xml:space="preserve">Pick-up Apr 10 11:00 AM | Drop-off Apr 12 9:00 AM</t>
  </si>
  <si>
    <t xml:space="preserve">2299 140th Ave NE Ste B, Bellevue WA 98005 | Ph: 425-641-1365 | Toyota Corolla or similar | Unlimited mileage | Bring Costco card!</t>
  </si>
  <si>
    <t xml:space="preserve">$89.27 (due at agency)</t>
  </si>
  <si>
    <t xml:space="preserve">Business Car — Enterprise (Apr 12–18)</t>
  </si>
  <si>
    <t xml:space="preserve">2095306771COUNT</t>
  </si>
  <si>
    <t xml:space="preserve">Enterprise / CWT Meta</t>
  </si>
  <si>
    <t xml:space="preserve">Pick-up Apr 12 9:00 AM | Drop-off Apr 18 5:00 PM</t>
  </si>
  <si>
    <t xml:space="preserve">2299 140th Ave NE Ste B, Bellevue WA 98005 (same location!) | Rate Code Z5MFR6 | Corp Discount XZ23920 | Intermediate car A/C auto</t>
  </si>
  <si>
    <t xml:space="preserve">$289.05 (Meta)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</si>
</sst>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sz val="10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833C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375623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7030A0"/>
        <bgColor rgb="FF993366"/>
      </patternFill>
    </fill>
    <fill>
      <patternFill patternType="solid">
        <fgColor rgb="FFFFF2CC"/>
        <bgColor rgb="FFF0F8F0"/>
      </patternFill>
    </fill>
    <fill>
      <patternFill patternType="solid">
        <fgColor rgb="FF375623"/>
        <bgColor rgb="FF555555"/>
      </patternFill>
    </fill>
    <fill>
      <patternFill patternType="solid">
        <fgColor rgb="FFE8F4E8"/>
        <bgColor rgb="FFF0F8F0"/>
      </patternFill>
    </fill>
    <fill>
      <patternFill patternType="solid">
        <fgColor rgb="FF833C00"/>
        <bgColor rgb="FF993366"/>
      </patternFill>
    </fill>
    <fill>
      <patternFill patternType="solid">
        <fgColor rgb="FFE2EFDA"/>
        <bgColor rgb="FFE8F4E8"/>
      </patternFill>
    </fill>
    <fill>
      <patternFill patternType="solid">
        <fgColor rgb="FFFFE0E0"/>
        <bgColor rgb="FFFFF2CC"/>
      </patternFill>
    </fill>
    <fill>
      <patternFill patternType="solid">
        <fgColor rgb="FFD9D9D9"/>
        <bgColor rgb="FFE2EFDA"/>
      </patternFill>
    </fill>
    <fill>
      <patternFill patternType="solid">
        <fgColor rgb="FFF0F8F0"/>
        <bgColor rgb="FFE8F4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1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E8F4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0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38"/>
    <col collapsed="false" customWidth="true" hidden="false" outlineLevel="0" max="4" min="4" style="1" width="50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7" min="7" style="1" width="6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68.25" hidden="false" customHeight="true" outlineLevel="0" collapsed="false">
      <c r="A6" s="5" t="s">
        <v>10</v>
      </c>
      <c r="B6" s="5"/>
      <c r="C6" s="5"/>
      <c r="D6" s="5"/>
      <c r="E6" s="5"/>
      <c r="F6" s="5"/>
      <c r="G6" s="5"/>
    </row>
    <row r="7" customFormat="false" ht="20.25" hidden="false" customHeight="true" outlineLevel="0" collapsed="false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</row>
    <row r="8" customFormat="false" ht="15" hidden="false" customHeight="true" outlineLevel="0" collapsed="false">
      <c r="A8" s="7" t="s">
        <v>11</v>
      </c>
      <c r="B8" s="7" t="s">
        <v>18</v>
      </c>
      <c r="C8" s="7" t="s">
        <v>19</v>
      </c>
      <c r="D8" s="7" t="s">
        <v>20</v>
      </c>
      <c r="E8" s="7"/>
      <c r="F8" s="7"/>
      <c r="G8" s="7"/>
    </row>
    <row r="9" customFormat="false" ht="30" hidden="false" customHeight="true" outlineLevel="0" collapsed="false">
      <c r="A9" s="6" t="s">
        <v>11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25</v>
      </c>
      <c r="G9" s="6" t="s">
        <v>26</v>
      </c>
    </row>
    <row r="10" customFormat="false" ht="20.25" hidden="false" customHeight="true" outlineLevel="0" collapsed="false">
      <c r="A10" s="7" t="s">
        <v>11</v>
      </c>
      <c r="B10" s="7" t="s">
        <v>27</v>
      </c>
      <c r="C10" s="7" t="s">
        <v>28</v>
      </c>
      <c r="D10" s="7" t="s">
        <v>29</v>
      </c>
      <c r="E10" s="7" t="s">
        <v>30</v>
      </c>
      <c r="F10" s="7" t="s">
        <v>31</v>
      </c>
      <c r="G10" s="7" t="s">
        <v>32</v>
      </c>
    </row>
    <row r="11" customFormat="false" ht="15" hidden="false" customHeight="true" outlineLevel="0" collapsed="false">
      <c r="A11" s="6" t="s">
        <v>11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37</v>
      </c>
      <c r="G11" s="6" t="s">
        <v>38</v>
      </c>
    </row>
    <row r="12" customFormat="false" ht="15" hidden="false" customHeight="true" outlineLevel="0" collapsed="false">
      <c r="A12" s="7" t="s">
        <v>11</v>
      </c>
      <c r="B12" s="7" t="s">
        <v>39</v>
      </c>
      <c r="C12" s="7" t="s">
        <v>40</v>
      </c>
      <c r="D12" s="7" t="s">
        <v>41</v>
      </c>
      <c r="E12" s="7" t="s">
        <v>42</v>
      </c>
      <c r="F12" s="7" t="s">
        <v>37</v>
      </c>
      <c r="G12" s="7"/>
    </row>
    <row r="13" customFormat="false" ht="20.25" hidden="false" customHeight="true" outlineLevel="0" collapsed="false">
      <c r="A13" s="6" t="s">
        <v>11</v>
      </c>
      <c r="B13" s="6" t="s">
        <v>43</v>
      </c>
      <c r="C13" s="6" t="s">
        <v>44</v>
      </c>
      <c r="D13" s="6" t="s">
        <v>45</v>
      </c>
      <c r="E13" s="6" t="s">
        <v>42</v>
      </c>
      <c r="F13" s="6" t="s">
        <v>42</v>
      </c>
      <c r="G13" s="6" t="s">
        <v>46</v>
      </c>
    </row>
    <row r="14" customFormat="false" ht="30" hidden="false" customHeight="true" outlineLevel="0" collapsed="false">
      <c r="A14" s="7" t="s">
        <v>11</v>
      </c>
      <c r="B14" s="7" t="s">
        <v>47</v>
      </c>
      <c r="C14" s="7" t="s">
        <v>48</v>
      </c>
      <c r="D14" s="7" t="s">
        <v>49</v>
      </c>
      <c r="E14" s="7" t="s">
        <v>42</v>
      </c>
      <c r="F14" s="7" t="s">
        <v>50</v>
      </c>
      <c r="G14" s="7" t="s">
        <v>51</v>
      </c>
    </row>
    <row r="15" customFormat="false" ht="20.25" hidden="false" customHeight="true" outlineLevel="0" collapsed="false">
      <c r="A15" s="6" t="s">
        <v>11</v>
      </c>
      <c r="B15" s="6" t="s">
        <v>52</v>
      </c>
      <c r="C15" s="6" t="s">
        <v>53</v>
      </c>
      <c r="D15" s="6" t="s">
        <v>54</v>
      </c>
      <c r="E15" s="6" t="s">
        <v>42</v>
      </c>
      <c r="F15" s="6" t="s">
        <v>42</v>
      </c>
      <c r="G15" s="6" t="s">
        <v>55</v>
      </c>
    </row>
    <row r="16" customFormat="false" ht="15" hidden="false" customHeight="true" outlineLevel="0" collapsed="false">
      <c r="A16" s="7" t="s">
        <v>56</v>
      </c>
      <c r="B16" s="7"/>
      <c r="C16" s="7"/>
      <c r="D16" s="7" t="s">
        <v>57</v>
      </c>
      <c r="E16" s="7"/>
      <c r="F16" s="7"/>
      <c r="G16" s="7"/>
    </row>
    <row r="17" customFormat="false" ht="20.25" hidden="false" customHeight="true" outlineLevel="0" collapsed="false">
      <c r="A17" s="6" t="s">
        <v>56</v>
      </c>
      <c r="B17" s="6" t="s">
        <v>58</v>
      </c>
      <c r="C17" s="6" t="s">
        <v>59</v>
      </c>
      <c r="D17" s="6" t="s">
        <v>60</v>
      </c>
      <c r="E17" s="6" t="s">
        <v>42</v>
      </c>
      <c r="F17" s="6" t="s">
        <v>42</v>
      </c>
      <c r="G17" s="6" t="s">
        <v>61</v>
      </c>
    </row>
    <row r="18" customFormat="false" ht="20.25" hidden="false" customHeight="true" outlineLevel="0" collapsed="false">
      <c r="A18" s="7" t="s">
        <v>56</v>
      </c>
      <c r="B18" s="7" t="s">
        <v>62</v>
      </c>
      <c r="C18" s="7" t="s">
        <v>63</v>
      </c>
      <c r="D18" s="7" t="s">
        <v>64</v>
      </c>
      <c r="E18" s="7" t="s">
        <v>42</v>
      </c>
      <c r="F18" s="7" t="s">
        <v>65</v>
      </c>
      <c r="G18" s="7" t="s">
        <v>66</v>
      </c>
    </row>
    <row r="19" customFormat="false" ht="20.25" hidden="false" customHeight="true" outlineLevel="0" collapsed="false">
      <c r="A19" s="6" t="s">
        <v>56</v>
      </c>
      <c r="B19" s="6" t="s">
        <v>67</v>
      </c>
      <c r="C19" s="6" t="s">
        <v>68</v>
      </c>
      <c r="D19" s="6" t="s">
        <v>69</v>
      </c>
      <c r="E19" s="6" t="s">
        <v>42</v>
      </c>
      <c r="F19" s="6" t="s">
        <v>42</v>
      </c>
      <c r="G19" s="6" t="s">
        <v>70</v>
      </c>
    </row>
    <row r="20" customFormat="false" ht="15" hidden="false" customHeight="true" outlineLevel="0" collapsed="false">
      <c r="A20" s="7" t="s">
        <v>56</v>
      </c>
      <c r="B20" s="7" t="s">
        <v>71</v>
      </c>
      <c r="C20" s="7" t="s">
        <v>72</v>
      </c>
      <c r="D20" s="7" t="s">
        <v>73</v>
      </c>
      <c r="E20" s="7" t="s">
        <v>42</v>
      </c>
      <c r="F20" s="7" t="s">
        <v>42</v>
      </c>
      <c r="G20" s="7" t="s">
        <v>74</v>
      </c>
    </row>
    <row r="21" customFormat="false" ht="15" hidden="false" customHeight="true" outlineLevel="0" collapsed="false">
      <c r="A21" s="6" t="s">
        <v>56</v>
      </c>
      <c r="B21" s="6" t="s">
        <v>75</v>
      </c>
      <c r="C21" s="6" t="s">
        <v>76</v>
      </c>
      <c r="D21" s="6" t="s">
        <v>77</v>
      </c>
      <c r="E21" s="6" t="s">
        <v>42</v>
      </c>
      <c r="F21" s="6" t="s">
        <v>42</v>
      </c>
      <c r="G21" s="6" t="s">
        <v>78</v>
      </c>
    </row>
    <row r="22" customFormat="false" ht="20.25" hidden="false" customHeight="true" outlineLevel="0" collapsed="false">
      <c r="A22" s="7" t="s">
        <v>56</v>
      </c>
      <c r="B22" s="7" t="s">
        <v>79</v>
      </c>
      <c r="C22" s="7" t="s">
        <v>80</v>
      </c>
      <c r="D22" s="7" t="s">
        <v>81</v>
      </c>
      <c r="E22" s="7" t="s">
        <v>42</v>
      </c>
      <c r="F22" s="7" t="s">
        <v>82</v>
      </c>
      <c r="G22" s="7" t="s">
        <v>83</v>
      </c>
    </row>
    <row r="23" customFormat="false" ht="15" hidden="false" customHeight="true" outlineLevel="0" collapsed="false">
      <c r="A23" s="6" t="s">
        <v>56</v>
      </c>
      <c r="B23" s="6"/>
      <c r="C23" s="6"/>
      <c r="D23" s="6" t="s">
        <v>84</v>
      </c>
      <c r="E23" s="6"/>
      <c r="F23" s="6"/>
      <c r="G23" s="6"/>
    </row>
    <row r="24" customFormat="false" ht="30" hidden="false" customHeight="true" outlineLevel="0" collapsed="false">
      <c r="A24" s="7" t="s">
        <v>56</v>
      </c>
      <c r="B24" s="7" t="s">
        <v>85</v>
      </c>
      <c r="C24" s="7" t="s">
        <v>86</v>
      </c>
      <c r="D24" s="7" t="s">
        <v>87</v>
      </c>
      <c r="E24" s="7" t="s">
        <v>42</v>
      </c>
      <c r="F24" s="7" t="s">
        <v>88</v>
      </c>
      <c r="G24" s="7" t="s">
        <v>89</v>
      </c>
    </row>
    <row r="25" customFormat="false" ht="15" hidden="false" customHeight="true" outlineLevel="0" collapsed="false">
      <c r="A25" s="6" t="s">
        <v>90</v>
      </c>
      <c r="B25" s="6" t="s">
        <v>91</v>
      </c>
      <c r="C25" s="6" t="s">
        <v>92</v>
      </c>
      <c r="D25" s="6" t="s">
        <v>93</v>
      </c>
      <c r="E25" s="6" t="s">
        <v>42</v>
      </c>
      <c r="F25" s="6" t="s">
        <v>94</v>
      </c>
      <c r="G25" s="6" t="s">
        <v>95</v>
      </c>
    </row>
    <row r="26" customFormat="false" ht="15" hidden="false" customHeight="true" outlineLevel="0" collapsed="false">
      <c r="A26" s="7" t="s">
        <v>90</v>
      </c>
      <c r="B26" s="7" t="s">
        <v>96</v>
      </c>
      <c r="C26" s="7" t="s">
        <v>97</v>
      </c>
      <c r="D26" s="7" t="s">
        <v>98</v>
      </c>
      <c r="E26" s="7"/>
      <c r="F26" s="7"/>
      <c r="G26" s="7" t="s">
        <v>99</v>
      </c>
    </row>
    <row r="27" customFormat="false" ht="20.25" hidden="false" customHeight="true" outlineLevel="0" collapsed="false">
      <c r="A27" s="6" t="s">
        <v>90</v>
      </c>
      <c r="B27" s="6" t="s">
        <v>100</v>
      </c>
      <c r="C27" s="6" t="s">
        <v>101</v>
      </c>
      <c r="D27" s="6" t="s">
        <v>102</v>
      </c>
      <c r="E27" s="6" t="s">
        <v>103</v>
      </c>
      <c r="F27" s="6" t="s">
        <v>104</v>
      </c>
      <c r="G27" s="6" t="s">
        <v>105</v>
      </c>
    </row>
    <row r="28" customFormat="false" ht="20.25" hidden="false" customHeight="true" outlineLevel="0" collapsed="false">
      <c r="A28" s="7" t="s">
        <v>90</v>
      </c>
      <c r="B28" s="7" t="s">
        <v>106</v>
      </c>
      <c r="C28" s="7" t="s">
        <v>107</v>
      </c>
      <c r="D28" s="7" t="s">
        <v>108</v>
      </c>
      <c r="E28" s="7" t="s">
        <v>109</v>
      </c>
      <c r="F28" s="7" t="s">
        <v>110</v>
      </c>
      <c r="G28" s="7" t="s">
        <v>111</v>
      </c>
    </row>
    <row r="29" customFormat="false" ht="20.25" hidden="false" customHeight="true" outlineLevel="0" collapsed="false">
      <c r="A29" s="6" t="s">
        <v>90</v>
      </c>
      <c r="B29" s="6" t="s">
        <v>112</v>
      </c>
      <c r="C29" s="6" t="s">
        <v>113</v>
      </c>
      <c r="D29" s="6" t="s">
        <v>114</v>
      </c>
      <c r="E29" s="6" t="s">
        <v>42</v>
      </c>
      <c r="F29" s="6" t="s">
        <v>42</v>
      </c>
      <c r="G29" s="6" t="s">
        <v>115</v>
      </c>
    </row>
    <row r="30" customFormat="false" ht="20.25" hidden="false" customHeight="true" outlineLevel="0" collapsed="false">
      <c r="A30" s="7" t="s">
        <v>90</v>
      </c>
      <c r="B30" s="7" t="s">
        <v>116</v>
      </c>
      <c r="C30" s="7" t="s">
        <v>117</v>
      </c>
      <c r="D30" s="7" t="s">
        <v>118</v>
      </c>
      <c r="E30" s="7" t="s">
        <v>42</v>
      </c>
      <c r="F30" s="7" t="s">
        <v>82</v>
      </c>
      <c r="G30" s="7" t="s">
        <v>119</v>
      </c>
    </row>
    <row r="31" customFormat="false" ht="79.5" hidden="false" customHeight="true" outlineLevel="0" collapsed="false">
      <c r="A31" s="8" t="s">
        <v>120</v>
      </c>
      <c r="B31" s="8"/>
      <c r="C31" s="8"/>
      <c r="D31" s="8"/>
      <c r="E31" s="8"/>
      <c r="F31" s="8"/>
      <c r="G31" s="8"/>
    </row>
    <row r="32" customFormat="false" ht="20.25" hidden="false" customHeight="true" outlineLevel="0" collapsed="false">
      <c r="A32" s="9" t="s">
        <v>121</v>
      </c>
      <c r="B32" s="9" t="s">
        <v>122</v>
      </c>
      <c r="C32" s="9" t="s">
        <v>123</v>
      </c>
      <c r="D32" s="9" t="s">
        <v>124</v>
      </c>
      <c r="E32" s="9" t="s">
        <v>125</v>
      </c>
      <c r="F32" s="9" t="s">
        <v>16</v>
      </c>
      <c r="G32" s="9" t="s">
        <v>126</v>
      </c>
    </row>
    <row r="33" customFormat="false" ht="20.25" hidden="false" customHeight="true" outlineLevel="0" collapsed="false">
      <c r="A33" s="7" t="s">
        <v>127</v>
      </c>
      <c r="B33" s="7" t="s">
        <v>122</v>
      </c>
      <c r="C33" s="7" t="s">
        <v>128</v>
      </c>
      <c r="D33" s="7" t="s">
        <v>129</v>
      </c>
      <c r="E33" s="7" t="s">
        <v>125</v>
      </c>
      <c r="F33" s="7" t="s">
        <v>16</v>
      </c>
      <c r="G33" s="7" t="s">
        <v>130</v>
      </c>
    </row>
    <row r="34" customFormat="false" ht="20.25" hidden="false" customHeight="true" outlineLevel="0" collapsed="false">
      <c r="A34" s="9" t="s">
        <v>131</v>
      </c>
      <c r="B34" s="9" t="s">
        <v>122</v>
      </c>
      <c r="C34" s="9" t="s">
        <v>132</v>
      </c>
      <c r="D34" s="9" t="s">
        <v>129</v>
      </c>
      <c r="E34" s="9" t="s">
        <v>125</v>
      </c>
      <c r="F34" s="9" t="s">
        <v>16</v>
      </c>
      <c r="G34" s="9" t="s">
        <v>133</v>
      </c>
    </row>
    <row r="35" customFormat="false" ht="20.25" hidden="false" customHeight="true" outlineLevel="0" collapsed="false">
      <c r="A35" s="7" t="s">
        <v>134</v>
      </c>
      <c r="B35" s="7" t="s">
        <v>122</v>
      </c>
      <c r="C35" s="7" t="s">
        <v>135</v>
      </c>
      <c r="D35" s="7" t="s">
        <v>129</v>
      </c>
      <c r="E35" s="7" t="s">
        <v>125</v>
      </c>
      <c r="F35" s="7" t="s">
        <v>16</v>
      </c>
      <c r="G35" s="7" t="s">
        <v>136</v>
      </c>
    </row>
    <row r="36" customFormat="false" ht="20.25" hidden="false" customHeight="true" outlineLevel="0" collapsed="false">
      <c r="A36" s="9" t="s">
        <v>137</v>
      </c>
      <c r="B36" s="9" t="s">
        <v>122</v>
      </c>
      <c r="C36" s="9" t="s">
        <v>138</v>
      </c>
      <c r="D36" s="9" t="s">
        <v>129</v>
      </c>
      <c r="E36" s="9" t="s">
        <v>125</v>
      </c>
      <c r="F36" s="9" t="s">
        <v>16</v>
      </c>
      <c r="G36" s="9" t="s">
        <v>139</v>
      </c>
    </row>
    <row r="37" customFormat="false" ht="90.75" hidden="false" customHeight="true" outlineLevel="0" collapsed="false">
      <c r="A37" s="5" t="s">
        <v>140</v>
      </c>
      <c r="B37" s="5"/>
      <c r="C37" s="5"/>
      <c r="D37" s="5"/>
      <c r="E37" s="5"/>
      <c r="F37" s="5"/>
      <c r="G37" s="5"/>
    </row>
    <row r="38" customFormat="false" ht="30" hidden="false" customHeight="true" outlineLevel="0" collapsed="false">
      <c r="A38" s="6" t="s">
        <v>137</v>
      </c>
      <c r="B38" s="6" t="s">
        <v>141</v>
      </c>
      <c r="C38" s="6" t="s">
        <v>142</v>
      </c>
      <c r="D38" s="6" t="s">
        <v>143</v>
      </c>
      <c r="E38" s="6" t="s">
        <v>42</v>
      </c>
      <c r="F38" s="6" t="s">
        <v>42</v>
      </c>
      <c r="G38" s="6" t="s">
        <v>144</v>
      </c>
    </row>
    <row r="39" customFormat="false" ht="20.25" hidden="false" customHeight="true" outlineLevel="0" collapsed="false">
      <c r="A39" s="7" t="s">
        <v>137</v>
      </c>
      <c r="B39" s="7" t="s">
        <v>145</v>
      </c>
      <c r="C39" s="7" t="s">
        <v>146</v>
      </c>
      <c r="D39" s="7" t="s">
        <v>147</v>
      </c>
      <c r="E39" s="7" t="s">
        <v>42</v>
      </c>
      <c r="F39" s="7" t="s">
        <v>82</v>
      </c>
      <c r="G39" s="7" t="s">
        <v>148</v>
      </c>
    </row>
    <row r="40" customFormat="false" ht="20.25" hidden="false" customHeight="true" outlineLevel="0" collapsed="false">
      <c r="A40" s="6" t="s">
        <v>149</v>
      </c>
      <c r="B40" s="6" t="s">
        <v>150</v>
      </c>
      <c r="C40" s="6" t="s">
        <v>151</v>
      </c>
      <c r="D40" s="6" t="s">
        <v>152</v>
      </c>
      <c r="E40" s="6" t="s">
        <v>42</v>
      </c>
      <c r="F40" s="6" t="s">
        <v>42</v>
      </c>
      <c r="G40" s="6" t="s">
        <v>153</v>
      </c>
    </row>
    <row r="41" customFormat="false" ht="15" hidden="false" customHeight="true" outlineLevel="0" collapsed="false">
      <c r="A41" s="7" t="s">
        <v>149</v>
      </c>
      <c r="B41" s="7" t="s">
        <v>154</v>
      </c>
      <c r="C41" s="7" t="s">
        <v>155</v>
      </c>
      <c r="D41" s="7" t="s">
        <v>156</v>
      </c>
      <c r="E41" s="7" t="s">
        <v>42</v>
      </c>
      <c r="F41" s="7" t="s">
        <v>42</v>
      </c>
      <c r="G41" s="7" t="s">
        <v>157</v>
      </c>
    </row>
    <row r="42" customFormat="false" ht="30" hidden="false" customHeight="true" outlineLevel="0" collapsed="false">
      <c r="A42" s="6" t="s">
        <v>149</v>
      </c>
      <c r="B42" s="6" t="s">
        <v>158</v>
      </c>
      <c r="C42" s="6" t="s">
        <v>159</v>
      </c>
      <c r="D42" s="6" t="s">
        <v>160</v>
      </c>
      <c r="E42" s="6" t="s">
        <v>42</v>
      </c>
      <c r="F42" s="6" t="s">
        <v>42</v>
      </c>
      <c r="G42" s="6" t="s">
        <v>161</v>
      </c>
    </row>
    <row r="43" customFormat="false" ht="20.25" hidden="false" customHeight="true" outlineLevel="0" collapsed="false">
      <c r="A43" s="7" t="s">
        <v>149</v>
      </c>
      <c r="B43" s="7" t="s">
        <v>162</v>
      </c>
      <c r="C43" s="7" t="s">
        <v>163</v>
      </c>
      <c r="D43" s="7" t="s">
        <v>164</v>
      </c>
      <c r="E43" s="7" t="s">
        <v>165</v>
      </c>
      <c r="F43" s="7"/>
      <c r="G43" s="7" t="s">
        <v>166</v>
      </c>
    </row>
    <row r="44" customFormat="false" ht="20.25" hidden="false" customHeight="true" outlineLevel="0" collapsed="false">
      <c r="A44" s="6" t="s">
        <v>149</v>
      </c>
      <c r="B44" s="6" t="s">
        <v>167</v>
      </c>
      <c r="C44" s="6" t="s">
        <v>168</v>
      </c>
      <c r="D44" s="6" t="s">
        <v>169</v>
      </c>
      <c r="E44" s="6" t="s">
        <v>30</v>
      </c>
      <c r="F44" s="6" t="s">
        <v>170</v>
      </c>
      <c r="G44" s="6" t="s">
        <v>171</v>
      </c>
    </row>
    <row r="45" customFormat="false" ht="20.25" hidden="false" customHeight="true" outlineLevel="0" collapsed="false">
      <c r="A45" s="7" t="s">
        <v>149</v>
      </c>
      <c r="B45" s="7" t="s">
        <v>116</v>
      </c>
      <c r="C45" s="7" t="s">
        <v>172</v>
      </c>
      <c r="D45" s="7" t="s">
        <v>173</v>
      </c>
      <c r="E45" s="7" t="s">
        <v>42</v>
      </c>
      <c r="F45" s="7" t="s">
        <v>82</v>
      </c>
      <c r="G45" s="7" t="s">
        <v>174</v>
      </c>
    </row>
    <row r="46" customFormat="false" ht="15" hidden="false" customHeight="true" outlineLevel="0" collapsed="false">
      <c r="A46" s="6" t="s">
        <v>175</v>
      </c>
      <c r="B46" s="6" t="s">
        <v>176</v>
      </c>
      <c r="C46" s="6" t="s">
        <v>177</v>
      </c>
      <c r="D46" s="6" t="s">
        <v>178</v>
      </c>
      <c r="E46" s="6" t="s">
        <v>42</v>
      </c>
      <c r="F46" s="6" t="s">
        <v>94</v>
      </c>
      <c r="G46" s="6" t="s">
        <v>179</v>
      </c>
    </row>
    <row r="47" customFormat="false" ht="20.25" hidden="false" customHeight="true" outlineLevel="0" collapsed="false">
      <c r="A47" s="7" t="s">
        <v>175</v>
      </c>
      <c r="B47" s="7" t="s">
        <v>180</v>
      </c>
      <c r="C47" s="7" t="s">
        <v>181</v>
      </c>
      <c r="D47" s="7" t="s">
        <v>182</v>
      </c>
      <c r="E47" s="7" t="s">
        <v>42</v>
      </c>
      <c r="F47" s="7" t="s">
        <v>42</v>
      </c>
      <c r="G47" s="7" t="s">
        <v>183</v>
      </c>
    </row>
    <row r="48" customFormat="false" ht="20.25" hidden="false" customHeight="true" outlineLevel="0" collapsed="false">
      <c r="A48" s="6" t="s">
        <v>175</v>
      </c>
      <c r="B48" s="6" t="s">
        <v>184</v>
      </c>
      <c r="C48" s="6" t="s">
        <v>185</v>
      </c>
      <c r="D48" s="6" t="s">
        <v>186</v>
      </c>
      <c r="E48" s="6" t="s">
        <v>42</v>
      </c>
      <c r="F48" s="6" t="s">
        <v>187</v>
      </c>
      <c r="G48" s="6" t="s">
        <v>188</v>
      </c>
    </row>
    <row r="49" customFormat="false" ht="20.25" hidden="false" customHeight="true" outlineLevel="0" collapsed="false">
      <c r="A49" s="7" t="s">
        <v>175</v>
      </c>
      <c r="B49" s="7" t="s">
        <v>189</v>
      </c>
      <c r="C49" s="7" t="s">
        <v>190</v>
      </c>
      <c r="D49" s="7" t="s">
        <v>191</v>
      </c>
      <c r="E49" s="7"/>
      <c r="F49" s="7"/>
      <c r="G49" s="7" t="s">
        <v>192</v>
      </c>
    </row>
    <row r="50" customFormat="false" ht="15" hidden="false" customHeight="true" outlineLevel="0" collapsed="false">
      <c r="A50" s="6" t="s">
        <v>175</v>
      </c>
      <c r="B50" s="6" t="s">
        <v>193</v>
      </c>
      <c r="C50" s="6" t="s">
        <v>194</v>
      </c>
      <c r="D50" s="6" t="s">
        <v>195</v>
      </c>
      <c r="E50" s="6" t="s">
        <v>15</v>
      </c>
      <c r="F50" s="6" t="s">
        <v>16</v>
      </c>
      <c r="G50" s="6" t="s">
        <v>196</v>
      </c>
    </row>
    <row r="51" customFormat="false" ht="15" hidden="false" customHeight="true" outlineLevel="0" collapsed="false">
      <c r="A51" s="7" t="s">
        <v>175</v>
      </c>
      <c r="B51" s="7" t="s">
        <v>197</v>
      </c>
      <c r="C51" s="7" t="s">
        <v>198</v>
      </c>
      <c r="D51" s="7" t="s">
        <v>199</v>
      </c>
      <c r="E51" s="7"/>
      <c r="F51" s="7"/>
      <c r="G51" s="7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28"/>
    <col collapsed="false" customWidth="true" hidden="false" outlineLevel="0" max="4" min="4" style="1" width="15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7" min="7" style="1" width="65"/>
  </cols>
  <sheetData>
    <row r="1" customFormat="false" ht="17.25" hidden="false" customHeight="true" outlineLevel="0" collapsed="false">
      <c r="A1" s="2" t="s">
        <v>201</v>
      </c>
    </row>
    <row r="2" customFormat="false" ht="15" hidden="false" customHeight="true" outlineLevel="0" collapsed="false">
      <c r="A2" s="3" t="s">
        <v>202</v>
      </c>
    </row>
    <row r="4" customFormat="false" ht="15" hidden="false" customHeight="true" outlineLevel="0" collapsed="false">
      <c r="A4" s="4" t="s">
        <v>203</v>
      </c>
      <c r="B4" s="4" t="s">
        <v>204</v>
      </c>
      <c r="C4" s="4" t="s">
        <v>205</v>
      </c>
      <c r="D4" s="4" t="s">
        <v>206</v>
      </c>
      <c r="E4" s="4" t="s">
        <v>207</v>
      </c>
      <c r="F4" s="4" t="s">
        <v>208</v>
      </c>
      <c r="G4" s="4" t="s">
        <v>209</v>
      </c>
    </row>
    <row r="5" customFormat="false" ht="15" hidden="false" customHeight="true" outlineLevel="0" collapsed="false">
      <c r="A5" s="10" t="s">
        <v>210</v>
      </c>
      <c r="B5" s="10"/>
      <c r="C5" s="10"/>
      <c r="D5" s="10"/>
      <c r="E5" s="10"/>
      <c r="F5" s="10"/>
      <c r="G5" s="10"/>
    </row>
    <row r="6" customFormat="false" ht="20.25" hidden="false" customHeight="true" outlineLevel="0" collapsed="false">
      <c r="A6" s="7" t="s">
        <v>211</v>
      </c>
      <c r="B6" s="7" t="s">
        <v>212</v>
      </c>
      <c r="C6" s="7" t="s">
        <v>213</v>
      </c>
      <c r="D6" s="7" t="s">
        <v>214</v>
      </c>
      <c r="E6" s="7" t="s">
        <v>215</v>
      </c>
      <c r="F6" s="7" t="s">
        <v>216</v>
      </c>
      <c r="G6" s="7" t="s">
        <v>217</v>
      </c>
    </row>
    <row r="7" customFormat="false" ht="20.25" hidden="false" customHeight="true" outlineLevel="0" collapsed="false">
      <c r="A7" s="6" t="s">
        <v>211</v>
      </c>
      <c r="B7" s="6" t="s">
        <v>218</v>
      </c>
      <c r="C7" s="6" t="s">
        <v>219</v>
      </c>
      <c r="D7" s="6" t="s">
        <v>220</v>
      </c>
      <c r="E7" s="6" t="s">
        <v>221</v>
      </c>
      <c r="F7" s="6" t="s">
        <v>222</v>
      </c>
      <c r="G7" s="6" t="s">
        <v>223</v>
      </c>
    </row>
    <row r="8" customFormat="false" ht="20.25" hidden="false" customHeight="true" outlineLevel="0" collapsed="false">
      <c r="A8" s="7" t="s">
        <v>211</v>
      </c>
      <c r="B8" s="7" t="s">
        <v>224</v>
      </c>
      <c r="C8" s="7" t="s">
        <v>219</v>
      </c>
      <c r="D8" s="7" t="s">
        <v>225</v>
      </c>
      <c r="E8" s="7" t="s">
        <v>226</v>
      </c>
      <c r="F8" s="7" t="s">
        <v>227</v>
      </c>
      <c r="G8" s="7" t="s">
        <v>228</v>
      </c>
    </row>
    <row r="9" customFormat="false" ht="20.25" hidden="false" customHeight="true" outlineLevel="0" collapsed="false">
      <c r="A9" s="6" t="s">
        <v>211</v>
      </c>
      <c r="B9" s="6" t="s">
        <v>229</v>
      </c>
      <c r="C9" s="6" t="s">
        <v>230</v>
      </c>
      <c r="D9" s="6" t="s">
        <v>214</v>
      </c>
      <c r="E9" s="6" t="s">
        <v>231</v>
      </c>
      <c r="F9" s="6" t="s">
        <v>216</v>
      </c>
      <c r="G9" s="6" t="s">
        <v>232</v>
      </c>
    </row>
    <row r="11" customFormat="false" ht="23.25" hidden="false" customHeight="true" outlineLevel="0" collapsed="false">
      <c r="A11" s="10" t="s">
        <v>233</v>
      </c>
      <c r="B11" s="10"/>
      <c r="C11" s="10"/>
      <c r="D11" s="10"/>
      <c r="E11" s="10"/>
      <c r="F11" s="10"/>
      <c r="G11" s="10"/>
    </row>
    <row r="12" customFormat="false" ht="20.25" hidden="false" customHeight="true" outlineLevel="0" collapsed="false">
      <c r="A12" s="7" t="s">
        <v>234</v>
      </c>
      <c r="B12" s="7" t="s">
        <v>235</v>
      </c>
      <c r="C12" s="7" t="s">
        <v>236</v>
      </c>
      <c r="D12" s="7" t="s">
        <v>237</v>
      </c>
      <c r="E12" s="7" t="s">
        <v>238</v>
      </c>
      <c r="F12" s="7" t="s">
        <v>239</v>
      </c>
      <c r="G12" s="7" t="s">
        <v>240</v>
      </c>
    </row>
    <row r="13" customFormat="false" ht="30" hidden="false" customHeight="true" outlineLevel="0" collapsed="false">
      <c r="A13" s="6" t="s">
        <v>241</v>
      </c>
      <c r="B13" s="6" t="s">
        <v>242</v>
      </c>
      <c r="C13" s="6" t="s">
        <v>236</v>
      </c>
      <c r="D13" s="6" t="s">
        <v>243</v>
      </c>
      <c r="E13" s="6" t="s">
        <v>244</v>
      </c>
      <c r="F13" s="6" t="s">
        <v>245</v>
      </c>
      <c r="G13" s="6" t="s">
        <v>246</v>
      </c>
    </row>
    <row r="14" customFormat="false" ht="30" hidden="false" customHeight="true" outlineLevel="0" collapsed="false">
      <c r="A14" s="7" t="s">
        <v>247</v>
      </c>
      <c r="B14" s="7" t="s">
        <v>248</v>
      </c>
      <c r="C14" s="7" t="s">
        <v>236</v>
      </c>
      <c r="D14" s="7" t="s">
        <v>249</v>
      </c>
      <c r="E14" s="7" t="s">
        <v>244</v>
      </c>
      <c r="F14" s="7" t="s">
        <v>250</v>
      </c>
      <c r="G14" s="7" t="s">
        <v>251</v>
      </c>
    </row>
    <row r="15" customFormat="false" ht="30" hidden="false" customHeight="true" outlineLevel="0" collapsed="false">
      <c r="A15" s="6" t="s">
        <v>252</v>
      </c>
      <c r="B15" s="6" t="s">
        <v>253</v>
      </c>
      <c r="C15" s="6" t="s">
        <v>236</v>
      </c>
      <c r="D15" s="6" t="s">
        <v>249</v>
      </c>
      <c r="E15" s="6" t="s">
        <v>244</v>
      </c>
      <c r="F15" s="6" t="s">
        <v>216</v>
      </c>
      <c r="G15" s="6" t="s">
        <v>254</v>
      </c>
    </row>
    <row r="16" customFormat="false" ht="30" hidden="false" customHeight="true" outlineLevel="0" collapsed="false">
      <c r="A16" s="7" t="s">
        <v>255</v>
      </c>
      <c r="B16" s="7" t="s">
        <v>256</v>
      </c>
      <c r="C16" s="7" t="s">
        <v>257</v>
      </c>
      <c r="D16" s="7" t="s">
        <v>258</v>
      </c>
      <c r="E16" s="7" t="s">
        <v>259</v>
      </c>
      <c r="F16" s="7" t="s">
        <v>260</v>
      </c>
      <c r="G16" s="7" t="s">
        <v>261</v>
      </c>
    </row>
    <row r="18" customFormat="false" ht="23.25" hidden="false" customHeight="true" outlineLevel="0" collapsed="false">
      <c r="A18" s="10" t="s">
        <v>262</v>
      </c>
      <c r="B18" s="10"/>
      <c r="C18" s="10"/>
      <c r="D18" s="10"/>
      <c r="E18" s="10"/>
      <c r="F18" s="10"/>
      <c r="G18" s="10"/>
    </row>
    <row r="19" customFormat="false" ht="20.25" hidden="false" customHeight="true" outlineLevel="0" collapsed="false">
      <c r="A19" s="6" t="s">
        <v>263</v>
      </c>
      <c r="B19" s="6" t="s">
        <v>264</v>
      </c>
      <c r="C19" s="6" t="s">
        <v>265</v>
      </c>
      <c r="D19" s="6" t="s">
        <v>266</v>
      </c>
      <c r="E19" s="6" t="s">
        <v>267</v>
      </c>
      <c r="F19" s="6" t="s">
        <v>268</v>
      </c>
      <c r="G19" s="6" t="s">
        <v>269</v>
      </c>
    </row>
    <row r="20" customFormat="false" ht="30" hidden="false" customHeight="true" outlineLevel="0" collapsed="false">
      <c r="A20" s="7" t="s">
        <v>270</v>
      </c>
      <c r="B20" s="7" t="s">
        <v>271</v>
      </c>
      <c r="C20" s="7" t="s">
        <v>272</v>
      </c>
      <c r="D20" s="7" t="s">
        <v>273</v>
      </c>
      <c r="E20" s="7" t="s">
        <v>274</v>
      </c>
      <c r="F20" s="7" t="s">
        <v>216</v>
      </c>
      <c r="G20" s="7" t="s">
        <v>275</v>
      </c>
    </row>
    <row r="21" customFormat="false" ht="20.25" hidden="false" customHeight="true" outlineLevel="0" collapsed="false">
      <c r="A21" s="6" t="s">
        <v>276</v>
      </c>
      <c r="B21" s="6" t="s">
        <v>277</v>
      </c>
      <c r="C21" s="6" t="s">
        <v>278</v>
      </c>
      <c r="D21" s="6" t="s">
        <v>279</v>
      </c>
      <c r="E21" s="6" t="s">
        <v>280</v>
      </c>
      <c r="F21" s="6" t="s">
        <v>216</v>
      </c>
      <c r="G21" s="6" t="s">
        <v>281</v>
      </c>
    </row>
    <row r="22" customFormat="false" ht="20.25" hidden="false" customHeight="true" outlineLevel="0" collapsed="false">
      <c r="A22" s="7" t="s">
        <v>276</v>
      </c>
      <c r="B22" s="7" t="s">
        <v>282</v>
      </c>
      <c r="C22" s="7" t="s">
        <v>283</v>
      </c>
      <c r="D22" s="7" t="s">
        <v>284</v>
      </c>
      <c r="E22" s="7" t="s">
        <v>285</v>
      </c>
      <c r="F22" s="7" t="s">
        <v>216</v>
      </c>
      <c r="G22" s="7" t="s">
        <v>286</v>
      </c>
    </row>
    <row r="24" customFormat="false" ht="15" hidden="false" customHeight="true" outlineLevel="0" collapsed="false">
      <c r="A24" s="10" t="s">
        <v>287</v>
      </c>
      <c r="B24" s="10"/>
      <c r="C24" s="10"/>
      <c r="D24" s="10"/>
      <c r="E24" s="10"/>
      <c r="F24" s="10"/>
      <c r="G24" s="10"/>
    </row>
    <row r="25" customFormat="false" ht="20.25" hidden="false" customHeight="true" outlineLevel="0" collapsed="false">
      <c r="A25" s="6" t="s">
        <v>211</v>
      </c>
      <c r="B25" s="6" t="s">
        <v>288</v>
      </c>
      <c r="C25" s="6" t="s">
        <v>289</v>
      </c>
      <c r="D25" s="6" t="s">
        <v>290</v>
      </c>
      <c r="E25" s="6" t="s">
        <v>285</v>
      </c>
      <c r="F25" s="6" t="s">
        <v>216</v>
      </c>
      <c r="G25" s="6" t="s">
        <v>291</v>
      </c>
    </row>
    <row r="26" customFormat="false" ht="20.25" hidden="false" customHeight="true" outlineLevel="0" collapsed="false">
      <c r="A26" s="7" t="s">
        <v>211</v>
      </c>
      <c r="B26" s="7" t="s">
        <v>292</v>
      </c>
      <c r="C26" s="7" t="s">
        <v>293</v>
      </c>
      <c r="D26" s="7" t="s">
        <v>294</v>
      </c>
      <c r="E26" s="7" t="s">
        <v>295</v>
      </c>
      <c r="F26" s="7" t="s">
        <v>296</v>
      </c>
      <c r="G26" s="7" t="s">
        <v>297</v>
      </c>
    </row>
    <row r="27" customFormat="false" ht="15" hidden="false" customHeight="true" outlineLevel="0" collapsed="false">
      <c r="A27" s="6" t="s">
        <v>211</v>
      </c>
      <c r="B27" s="6" t="s">
        <v>298</v>
      </c>
      <c r="C27" s="6" t="s">
        <v>289</v>
      </c>
      <c r="D27" s="6" t="s">
        <v>299</v>
      </c>
      <c r="E27" s="6" t="s">
        <v>300</v>
      </c>
      <c r="F27" s="6" t="s">
        <v>216</v>
      </c>
      <c r="G27" s="6" t="s">
        <v>301</v>
      </c>
    </row>
    <row r="28" customFormat="false" ht="20.25" hidden="false" customHeight="true" outlineLevel="0" collapsed="false">
      <c r="A28" s="7" t="s">
        <v>211</v>
      </c>
      <c r="B28" s="7" t="s">
        <v>302</v>
      </c>
      <c r="C28" s="7" t="s">
        <v>303</v>
      </c>
      <c r="D28" s="7" t="s">
        <v>214</v>
      </c>
      <c r="E28" s="7" t="s">
        <v>304</v>
      </c>
      <c r="F28" s="7" t="s">
        <v>216</v>
      </c>
      <c r="G28" s="7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55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" t="s">
        <v>306</v>
      </c>
    </row>
    <row r="2" customFormat="false" ht="15" hidden="false" customHeight="true" outlineLevel="0" collapsed="false">
      <c r="A2" s="3" t="s">
        <v>307</v>
      </c>
    </row>
    <row r="3" customFormat="false" ht="15" hidden="false" customHeight="true" outlineLevel="0" collapsed="false">
      <c r="A3" s="11" t="s">
        <v>308</v>
      </c>
    </row>
    <row r="5" customFormat="false" ht="15" hidden="false" customHeight="true" outlineLevel="0" collapsed="false">
      <c r="A5" s="4" t="s">
        <v>309</v>
      </c>
      <c r="B5" s="4" t="s">
        <v>310</v>
      </c>
      <c r="C5" s="4" t="s">
        <v>311</v>
      </c>
      <c r="D5" s="4" t="s">
        <v>312</v>
      </c>
      <c r="E5" s="4" t="s">
        <v>206</v>
      </c>
      <c r="F5" s="4" t="s">
        <v>313</v>
      </c>
    </row>
    <row r="6" customFormat="false" ht="99.75" hidden="false" customHeight="true" outlineLevel="0" collapsed="false">
      <c r="A6" s="6" t="s">
        <v>121</v>
      </c>
      <c r="B6" s="6" t="s">
        <v>314</v>
      </c>
      <c r="C6" s="6" t="s">
        <v>315</v>
      </c>
      <c r="D6" s="6" t="s">
        <v>316</v>
      </c>
      <c r="E6" s="6" t="s">
        <v>317</v>
      </c>
      <c r="F6" s="6" t="s">
        <v>318</v>
      </c>
    </row>
    <row r="7" customFormat="false" ht="99.75" hidden="false" customHeight="true" outlineLevel="0" collapsed="false">
      <c r="A7" s="7" t="s">
        <v>127</v>
      </c>
      <c r="B7" s="7" t="s">
        <v>319</v>
      </c>
      <c r="C7" s="7" t="s">
        <v>320</v>
      </c>
      <c r="D7" s="7" t="s">
        <v>321</v>
      </c>
      <c r="E7" s="7" t="s">
        <v>322</v>
      </c>
      <c r="F7" s="7" t="s">
        <v>323</v>
      </c>
    </row>
    <row r="8" customFormat="false" ht="99.75" hidden="false" customHeight="true" outlineLevel="0" collapsed="false">
      <c r="A8" s="6" t="s">
        <v>131</v>
      </c>
      <c r="B8" s="6" t="s">
        <v>324</v>
      </c>
      <c r="C8" s="6" t="s">
        <v>325</v>
      </c>
      <c r="D8" s="6" t="s">
        <v>326</v>
      </c>
      <c r="E8" s="6" t="s">
        <v>327</v>
      </c>
      <c r="F8" s="6" t="s">
        <v>328</v>
      </c>
    </row>
    <row r="9" customFormat="false" ht="99.75" hidden="false" customHeight="true" outlineLevel="0" collapsed="false">
      <c r="A9" s="7" t="s">
        <v>134</v>
      </c>
      <c r="B9" s="7" t="s">
        <v>329</v>
      </c>
      <c r="C9" s="7" t="s">
        <v>330</v>
      </c>
      <c r="D9" s="7" t="s">
        <v>331</v>
      </c>
      <c r="E9" s="7" t="s">
        <v>332</v>
      </c>
      <c r="F9" s="7" t="s">
        <v>333</v>
      </c>
    </row>
    <row r="10" customFormat="false" ht="99.75" hidden="false" customHeight="true" outlineLevel="0" collapsed="false">
      <c r="A10" s="6" t="s">
        <v>137</v>
      </c>
      <c r="B10" s="6" t="s">
        <v>334</v>
      </c>
      <c r="C10" s="6" t="s">
        <v>335</v>
      </c>
      <c r="D10" s="6" t="s">
        <v>331</v>
      </c>
      <c r="E10" s="6" t="s">
        <v>336</v>
      </c>
      <c r="F10" s="6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72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338</v>
      </c>
    </row>
    <row r="3" customFormat="false" ht="15" hidden="false" customHeight="true" outlineLevel="0" collapsed="false">
      <c r="A3" s="4" t="s">
        <v>339</v>
      </c>
      <c r="B3" s="4" t="s">
        <v>340</v>
      </c>
      <c r="C3" s="4" t="s">
        <v>341</v>
      </c>
      <c r="D3" s="4" t="s">
        <v>342</v>
      </c>
      <c r="E3" s="4" t="s">
        <v>343</v>
      </c>
    </row>
    <row r="4" customFormat="false" ht="20.25" hidden="false" customHeight="true" outlineLevel="0" collapsed="false">
      <c r="A4" s="12" t="n">
        <v>1</v>
      </c>
      <c r="B4" s="12" t="s">
        <v>344</v>
      </c>
      <c r="C4" s="12" t="s">
        <v>345</v>
      </c>
      <c r="D4" s="12" t="s">
        <v>346</v>
      </c>
      <c r="E4" s="12" t="s">
        <v>347</v>
      </c>
    </row>
    <row r="5" customFormat="false" ht="15" hidden="false" customHeight="true" outlineLevel="0" collapsed="false">
      <c r="A5" s="12" t="n">
        <v>2</v>
      </c>
      <c r="B5" s="12" t="s">
        <v>348</v>
      </c>
      <c r="C5" s="12" t="s">
        <v>345</v>
      </c>
      <c r="D5" s="12" t="s">
        <v>349</v>
      </c>
      <c r="E5" s="12" t="s">
        <v>347</v>
      </c>
    </row>
    <row r="6" customFormat="false" ht="30" hidden="false" customHeight="true" outlineLevel="0" collapsed="false">
      <c r="A6" s="12" t="n">
        <v>3</v>
      </c>
      <c r="B6" s="12" t="s">
        <v>350</v>
      </c>
      <c r="C6" s="12" t="s">
        <v>351</v>
      </c>
      <c r="D6" s="12" t="s">
        <v>352</v>
      </c>
      <c r="E6" s="12" t="s">
        <v>353</v>
      </c>
    </row>
    <row r="7" customFormat="false" ht="20.25" hidden="false" customHeight="true" outlineLevel="0" collapsed="false">
      <c r="A7" s="12" t="n">
        <v>4</v>
      </c>
      <c r="B7" s="12" t="s">
        <v>354</v>
      </c>
      <c r="C7" s="12" t="s">
        <v>351</v>
      </c>
      <c r="D7" s="12" t="s">
        <v>355</v>
      </c>
      <c r="E7" s="12" t="s">
        <v>356</v>
      </c>
    </row>
    <row r="8" customFormat="false" ht="30" hidden="false" customHeight="true" outlineLevel="0" collapsed="false">
      <c r="A8" s="12" t="n">
        <v>5</v>
      </c>
      <c r="B8" s="12" t="s">
        <v>357</v>
      </c>
      <c r="C8" s="12" t="s">
        <v>351</v>
      </c>
      <c r="D8" s="12" t="s">
        <v>358</v>
      </c>
      <c r="E8" s="12" t="s">
        <v>359</v>
      </c>
    </row>
    <row r="9" customFormat="false" ht="30" hidden="false" customHeight="true" outlineLevel="0" collapsed="false">
      <c r="A9" s="12" t="n">
        <v>6</v>
      </c>
      <c r="B9" s="12" t="s">
        <v>360</v>
      </c>
      <c r="C9" s="12" t="s">
        <v>361</v>
      </c>
      <c r="D9" s="12" t="s">
        <v>362</v>
      </c>
      <c r="E9" s="12" t="s">
        <v>363</v>
      </c>
    </row>
    <row r="10" customFormat="false" ht="30" hidden="false" customHeight="true" outlineLevel="0" collapsed="false">
      <c r="A10" s="12" t="n">
        <v>7</v>
      </c>
      <c r="B10" s="12" t="s">
        <v>364</v>
      </c>
      <c r="C10" s="12" t="s">
        <v>361</v>
      </c>
      <c r="D10" s="12" t="s">
        <v>365</v>
      </c>
      <c r="E10" s="12" t="s">
        <v>366</v>
      </c>
    </row>
    <row r="11" customFormat="false" ht="20.25" hidden="false" customHeight="true" outlineLevel="0" collapsed="false">
      <c r="A11" s="13" t="n">
        <v>8</v>
      </c>
      <c r="B11" s="13" t="s">
        <v>367</v>
      </c>
      <c r="C11" s="13" t="s">
        <v>368</v>
      </c>
      <c r="D11" s="13" t="s">
        <v>369</v>
      </c>
      <c r="E11" s="13" t="s">
        <v>370</v>
      </c>
    </row>
    <row r="12" customFormat="false" ht="20.25" hidden="false" customHeight="true" outlineLevel="0" collapsed="false">
      <c r="A12" s="6" t="n">
        <v>9</v>
      </c>
      <c r="B12" s="6" t="s">
        <v>371</v>
      </c>
      <c r="C12" s="6" t="s">
        <v>368</v>
      </c>
      <c r="D12" s="6" t="s">
        <v>372</v>
      </c>
      <c r="E12" s="6" t="s">
        <v>373</v>
      </c>
    </row>
    <row r="13" customFormat="false" ht="20.25" hidden="false" customHeight="true" outlineLevel="0" collapsed="false">
      <c r="A13" s="13" t="n">
        <v>10</v>
      </c>
      <c r="B13" s="13" t="s">
        <v>374</v>
      </c>
      <c r="C13" s="13" t="s">
        <v>351</v>
      </c>
      <c r="D13" s="13" t="s">
        <v>375</v>
      </c>
      <c r="E13" s="13" t="s">
        <v>376</v>
      </c>
    </row>
    <row r="14" customFormat="false" ht="20.25" hidden="false" customHeight="true" outlineLevel="0" collapsed="false">
      <c r="A14" s="6" t="n">
        <v>11</v>
      </c>
      <c r="B14" s="6" t="s">
        <v>377</v>
      </c>
      <c r="C14" s="6" t="s">
        <v>378</v>
      </c>
      <c r="D14" s="6" t="s">
        <v>379</v>
      </c>
      <c r="E14" s="6" t="s">
        <v>380</v>
      </c>
    </row>
    <row r="15" customFormat="false" ht="15" hidden="false" customHeight="true" outlineLevel="0" collapsed="false">
      <c r="A15" s="6" t="n">
        <v>12</v>
      </c>
      <c r="B15" s="6" t="s">
        <v>381</v>
      </c>
      <c r="C15" s="6" t="s">
        <v>368</v>
      </c>
      <c r="D15" s="6" t="s">
        <v>382</v>
      </c>
      <c r="E15" s="6" t="s">
        <v>373</v>
      </c>
    </row>
    <row r="16" customFormat="false" ht="20.25" hidden="false" customHeight="true" outlineLevel="0" collapsed="false">
      <c r="A16" s="13" t="n">
        <v>13</v>
      </c>
      <c r="B16" s="13" t="s">
        <v>383</v>
      </c>
      <c r="C16" s="13" t="s">
        <v>368</v>
      </c>
      <c r="D16" s="13" t="s">
        <v>384</v>
      </c>
      <c r="E16" s="13" t="s">
        <v>385</v>
      </c>
    </row>
    <row r="17" customFormat="false" ht="20.25" hidden="false" customHeight="true" outlineLevel="0" collapsed="false">
      <c r="A17" s="13" t="n">
        <v>14</v>
      </c>
      <c r="B17" s="13" t="s">
        <v>386</v>
      </c>
      <c r="C17" s="13" t="s">
        <v>368</v>
      </c>
      <c r="D17" s="13" t="s">
        <v>387</v>
      </c>
      <c r="E17" s="13" t="s">
        <v>388</v>
      </c>
    </row>
    <row r="18" customFormat="false" ht="15" hidden="false" customHeight="true" outlineLevel="0" collapsed="false">
      <c r="A18" s="13" t="n">
        <v>15</v>
      </c>
      <c r="B18" s="13" t="s">
        <v>389</v>
      </c>
      <c r="C18" s="13" t="s">
        <v>345</v>
      </c>
      <c r="D18" s="13" t="s">
        <v>390</v>
      </c>
      <c r="E18" s="13" t="s">
        <v>391</v>
      </c>
    </row>
    <row r="19" customFormat="false" ht="20.25" hidden="false" customHeight="true" outlineLevel="0" collapsed="false">
      <c r="A19" s="6" t="n">
        <v>16</v>
      </c>
      <c r="B19" s="6" t="s">
        <v>392</v>
      </c>
      <c r="C19" s="6" t="s">
        <v>393</v>
      </c>
      <c r="D19" s="6" t="s">
        <v>394</v>
      </c>
      <c r="E19" s="6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396</v>
      </c>
    </row>
    <row r="2" customFormat="false" ht="15" hidden="false" customHeight="true" outlineLevel="0" collapsed="false">
      <c r="A2" s="3" t="s">
        <v>397</v>
      </c>
    </row>
    <row r="4" customFormat="false" ht="15" hidden="false" customHeight="true" outlineLevel="0" collapsed="false">
      <c r="A4" s="4" t="s">
        <v>340</v>
      </c>
      <c r="B4" s="4" t="s">
        <v>398</v>
      </c>
      <c r="C4" s="4" t="s">
        <v>399</v>
      </c>
      <c r="D4" s="4" t="s">
        <v>209</v>
      </c>
    </row>
    <row r="5" customFormat="false" ht="15" hidden="false" customHeight="true" outlineLevel="0" collapsed="false">
      <c r="A5" s="8" t="s">
        <v>400</v>
      </c>
      <c r="B5" s="8"/>
      <c r="C5" s="8"/>
      <c r="D5" s="8"/>
    </row>
    <row r="6" customFormat="false" ht="15" hidden="false" customHeight="true" outlineLevel="0" collapsed="false">
      <c r="A6" s="14" t="s">
        <v>401</v>
      </c>
      <c r="B6" s="15" t="n">
        <v>636.44</v>
      </c>
      <c r="C6" s="14" t="s">
        <v>402</v>
      </c>
      <c r="D6" s="14" t="s">
        <v>403</v>
      </c>
    </row>
    <row r="7" customFormat="false" ht="15" hidden="false" customHeight="true" outlineLevel="0" collapsed="false">
      <c r="A7" s="14" t="s">
        <v>404</v>
      </c>
      <c r="B7" s="15" t="n">
        <v>1800</v>
      </c>
      <c r="C7" s="14" t="s">
        <v>402</v>
      </c>
      <c r="D7" s="14" t="s">
        <v>405</v>
      </c>
    </row>
    <row r="8" customFormat="false" ht="15" hidden="false" customHeight="true" outlineLevel="0" collapsed="false">
      <c r="A8" s="14" t="s">
        <v>406</v>
      </c>
      <c r="B8" s="15" t="n">
        <v>289.05</v>
      </c>
      <c r="C8" s="14" t="s">
        <v>402</v>
      </c>
      <c r="D8" s="14" t="s">
        <v>407</v>
      </c>
    </row>
    <row r="9" customFormat="false" ht="15" hidden="false" customHeight="true" outlineLevel="0" collapsed="false">
      <c r="A9" s="14" t="s">
        <v>408</v>
      </c>
      <c r="B9" s="15" t="n">
        <v>500</v>
      </c>
      <c r="C9" s="14" t="s">
        <v>402</v>
      </c>
      <c r="D9" s="14" t="s">
        <v>409</v>
      </c>
    </row>
    <row r="10" customFormat="false" ht="15" hidden="false" customHeight="true" outlineLevel="0" collapsed="false">
      <c r="A10" s="16" t="s">
        <v>410</v>
      </c>
      <c r="B10" s="17" t="n">
        <f aca="false">SUM(B6:B9)</f>
        <v>3225.49</v>
      </c>
      <c r="C10" s="16" t="s">
        <v>411</v>
      </c>
      <c r="D10" s="16"/>
    </row>
    <row r="12" customFormat="false" ht="15" hidden="false" customHeight="true" outlineLevel="0" collapsed="false">
      <c r="A12" s="5" t="s">
        <v>412</v>
      </c>
      <c r="B12" s="5"/>
      <c r="C12" s="5"/>
      <c r="D12" s="5"/>
    </row>
    <row r="13" customFormat="false" ht="15" hidden="false" customHeight="true" outlineLevel="0" collapsed="false">
      <c r="A13" s="7" t="s">
        <v>413</v>
      </c>
      <c r="B13" s="18" t="n">
        <v>150.08</v>
      </c>
      <c r="C13" s="7" t="s">
        <v>42</v>
      </c>
      <c r="D13" s="7" t="s">
        <v>414</v>
      </c>
    </row>
    <row r="14" customFormat="false" ht="15" hidden="false" customHeight="true" outlineLevel="0" collapsed="false">
      <c r="A14" s="6" t="s">
        <v>415</v>
      </c>
      <c r="B14" s="19" t="n">
        <v>86.97</v>
      </c>
      <c r="C14" s="6" t="s">
        <v>42</v>
      </c>
      <c r="D14" s="6" t="s">
        <v>416</v>
      </c>
    </row>
    <row r="15" customFormat="false" ht="15" hidden="false" customHeight="true" outlineLevel="0" collapsed="false">
      <c r="A15" s="7" t="s">
        <v>417</v>
      </c>
      <c r="B15" s="18" t="n">
        <v>89.27</v>
      </c>
      <c r="C15" s="7" t="s">
        <v>42</v>
      </c>
      <c r="D15" s="7" t="s">
        <v>418</v>
      </c>
    </row>
    <row r="16" customFormat="false" ht="15" hidden="false" customHeight="true" outlineLevel="0" collapsed="false">
      <c r="A16" s="6" t="s">
        <v>419</v>
      </c>
      <c r="B16" s="19" t="n">
        <v>150</v>
      </c>
      <c r="C16" s="6" t="s">
        <v>42</v>
      </c>
      <c r="D16" s="6" t="s">
        <v>420</v>
      </c>
    </row>
    <row r="17" customFormat="false" ht="15" hidden="false" customHeight="true" outlineLevel="0" collapsed="false">
      <c r="A17" s="7" t="s">
        <v>421</v>
      </c>
      <c r="B17" s="18" t="n">
        <v>35</v>
      </c>
      <c r="C17" s="7" t="s">
        <v>42</v>
      </c>
      <c r="D17" s="7" t="s">
        <v>422</v>
      </c>
    </row>
    <row r="18" customFormat="false" ht="15" hidden="false" customHeight="true" outlineLevel="0" collapsed="false">
      <c r="A18" s="6" t="s">
        <v>423</v>
      </c>
      <c r="B18" s="19" t="n">
        <v>75</v>
      </c>
      <c r="C18" s="6" t="s">
        <v>42</v>
      </c>
      <c r="D18" s="6" t="s">
        <v>424</v>
      </c>
    </row>
    <row r="19" customFormat="false" ht="15" hidden="false" customHeight="true" outlineLevel="0" collapsed="false">
      <c r="A19" s="7" t="s">
        <v>425</v>
      </c>
      <c r="B19" s="18" t="n">
        <v>60</v>
      </c>
      <c r="C19" s="7" t="s">
        <v>42</v>
      </c>
      <c r="D19" s="7" t="s">
        <v>426</v>
      </c>
    </row>
    <row r="20" customFormat="false" ht="15" hidden="false" customHeight="true" outlineLevel="0" collapsed="false">
      <c r="A20" s="6" t="s">
        <v>427</v>
      </c>
      <c r="B20" s="19" t="n">
        <v>300</v>
      </c>
      <c r="C20" s="6" t="s">
        <v>42</v>
      </c>
      <c r="D20" s="6" t="s">
        <v>428</v>
      </c>
    </row>
    <row r="21" customFormat="false" ht="15" hidden="false" customHeight="true" outlineLevel="0" collapsed="false">
      <c r="A21" s="7" t="s">
        <v>429</v>
      </c>
      <c r="B21" s="18" t="n">
        <v>400</v>
      </c>
      <c r="C21" s="7" t="s">
        <v>42</v>
      </c>
      <c r="D21" s="7" t="s">
        <v>430</v>
      </c>
    </row>
    <row r="22" customFormat="false" ht="15" hidden="false" customHeight="true" outlineLevel="0" collapsed="false">
      <c r="A22" s="6" t="s">
        <v>431</v>
      </c>
      <c r="B22" s="19" t="n">
        <v>120</v>
      </c>
      <c r="C22" s="6" t="s">
        <v>42</v>
      </c>
      <c r="D22" s="6" t="s">
        <v>432</v>
      </c>
    </row>
    <row r="23" customFormat="false" ht="15" hidden="false" customHeight="true" outlineLevel="0" collapsed="false">
      <c r="A23" s="7" t="s">
        <v>433</v>
      </c>
      <c r="B23" s="18" t="n">
        <v>100</v>
      </c>
      <c r="C23" s="7" t="s">
        <v>42</v>
      </c>
      <c r="D23" s="7" t="s">
        <v>434</v>
      </c>
    </row>
    <row r="24" customFormat="false" ht="15" hidden="false" customHeight="true" outlineLevel="0" collapsed="false">
      <c r="A24" s="16" t="s">
        <v>435</v>
      </c>
      <c r="B24" s="16" t="n">
        <f aca="false">SUM(B13:B23)</f>
        <v>1566.32</v>
      </c>
      <c r="C24" s="16" t="s">
        <v>42</v>
      </c>
      <c r="D24" s="16"/>
    </row>
    <row r="26" customFormat="false" ht="15" hidden="false" customHeight="true" outlineLevel="0" collapsed="false">
      <c r="A26" s="16" t="s">
        <v>436</v>
      </c>
      <c r="B26" s="16" t="n">
        <f aca="false">B24</f>
        <v>1566.32</v>
      </c>
      <c r="C26" s="16" t="s">
        <v>42</v>
      </c>
      <c r="D26" s="16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65"/>
    <col collapsed="false" customWidth="true" hidden="false" outlineLevel="0" max="6" min="6" style="1" width="20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438</v>
      </c>
    </row>
    <row r="3" customFormat="false" ht="15" hidden="false" customHeight="true" outlineLevel="0" collapsed="false">
      <c r="A3" s="4" t="s">
        <v>439</v>
      </c>
      <c r="B3" s="4" t="s">
        <v>440</v>
      </c>
      <c r="C3" s="4" t="s">
        <v>441</v>
      </c>
      <c r="D3" s="4" t="s">
        <v>442</v>
      </c>
      <c r="E3" s="4" t="s">
        <v>6</v>
      </c>
      <c r="F3" s="4" t="s">
        <v>443</v>
      </c>
      <c r="G3" s="4" t="s">
        <v>343</v>
      </c>
    </row>
    <row r="4" customFormat="false" ht="69.75" hidden="false" customHeight="true" outlineLevel="0" collapsed="false">
      <c r="A4" s="20" t="s">
        <v>444</v>
      </c>
      <c r="B4" s="20" t="s">
        <v>445</v>
      </c>
      <c r="C4" s="20" t="s">
        <v>446</v>
      </c>
      <c r="D4" s="20" t="s">
        <v>447</v>
      </c>
      <c r="E4" s="20" t="s">
        <v>448</v>
      </c>
      <c r="F4" s="20" t="s">
        <v>449</v>
      </c>
      <c r="G4" s="20" t="s">
        <v>450</v>
      </c>
    </row>
    <row r="5" customFormat="false" ht="69.75" hidden="false" customHeight="true" outlineLevel="0" collapsed="false">
      <c r="A5" s="21" t="s">
        <v>451</v>
      </c>
      <c r="B5" s="21" t="s">
        <v>445</v>
      </c>
      <c r="C5" s="21" t="s">
        <v>446</v>
      </c>
      <c r="D5" s="21" t="s">
        <v>452</v>
      </c>
      <c r="E5" s="21" t="s">
        <v>453</v>
      </c>
      <c r="F5" s="21" t="s">
        <v>454</v>
      </c>
      <c r="G5" s="21" t="s">
        <v>450</v>
      </c>
    </row>
    <row r="6" customFormat="false" ht="69.75" hidden="false" customHeight="true" outlineLevel="0" collapsed="false">
      <c r="A6" s="20" t="s">
        <v>455</v>
      </c>
      <c r="B6" s="20" t="s">
        <v>456</v>
      </c>
      <c r="C6" s="20" t="s">
        <v>457</v>
      </c>
      <c r="D6" s="20" t="s">
        <v>458</v>
      </c>
      <c r="E6" s="20" t="s">
        <v>459</v>
      </c>
      <c r="F6" s="20" t="s">
        <v>460</v>
      </c>
      <c r="G6" s="20" t="s">
        <v>450</v>
      </c>
    </row>
    <row r="7" customFormat="false" ht="69.75" hidden="false" customHeight="true" outlineLevel="0" collapsed="false">
      <c r="A7" s="21" t="s">
        <v>461</v>
      </c>
      <c r="B7" s="21" t="s">
        <v>462</v>
      </c>
      <c r="C7" s="21" t="s">
        <v>463</v>
      </c>
      <c r="D7" s="21" t="s">
        <v>464</v>
      </c>
      <c r="E7" s="21" t="s">
        <v>465</v>
      </c>
      <c r="F7" s="21" t="s">
        <v>466</v>
      </c>
      <c r="G7" s="21" t="s">
        <v>450</v>
      </c>
    </row>
    <row r="8" customFormat="false" ht="69.75" hidden="false" customHeight="true" outlineLevel="0" collapsed="false">
      <c r="A8" s="20" t="s">
        <v>467</v>
      </c>
      <c r="B8" s="20" t="s">
        <v>468</v>
      </c>
      <c r="C8" s="20" t="s">
        <v>469</v>
      </c>
      <c r="D8" s="20" t="s">
        <v>470</v>
      </c>
      <c r="E8" s="20" t="s">
        <v>471</v>
      </c>
      <c r="F8" s="20" t="s">
        <v>472</v>
      </c>
      <c r="G8" s="20" t="s">
        <v>450</v>
      </c>
    </row>
    <row r="9" customFormat="false" ht="69.75" hidden="false" customHeight="true" outlineLevel="0" collapsed="false">
      <c r="A9" s="21" t="s">
        <v>473</v>
      </c>
      <c r="B9" s="21" t="s">
        <v>474</v>
      </c>
      <c r="C9" s="21" t="s">
        <v>475</v>
      </c>
      <c r="D9" s="21" t="s">
        <v>476</v>
      </c>
      <c r="E9" s="21" t="s">
        <v>477</v>
      </c>
      <c r="F9" s="21" t="s">
        <v>478</v>
      </c>
      <c r="G9" s="21" t="s">
        <v>450</v>
      </c>
    </row>
    <row r="10" customFormat="false" ht="69.75" hidden="false" customHeight="true" outlineLevel="0" collapsed="false">
      <c r="A10" s="20" t="s">
        <v>479</v>
      </c>
      <c r="B10" s="20" t="s">
        <v>480</v>
      </c>
      <c r="C10" s="20" t="s">
        <v>481</v>
      </c>
      <c r="D10" s="20" t="s">
        <v>482</v>
      </c>
      <c r="E10" s="20" t="s">
        <v>483</v>
      </c>
      <c r="F10" s="20" t="s">
        <v>484</v>
      </c>
      <c r="G10" s="20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2026-04-06T05:50:16Z</dcterms:created>
  <dc:creator>openpyxl</dc:creator>
  <dc:description/>
  <dc:language>en-US</dc:language>
  <cp:lastModifiedBy/>
  <dcterms:modified xsi:type="dcterms:W3CDTF">2026-04-06T05:50:34Z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