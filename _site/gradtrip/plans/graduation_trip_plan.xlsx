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tinerary" sheetId="1" state="visible" r:id="rId3"/>
    <sheet name="Driving Distances" sheetId="2" state="visible" r:id="rId4"/>
    <sheet name="Route Options (May 9–13)" sheetId="3" state="visible" r:id="rId5"/>
    <sheet name="Booking Checklist" sheetId="4" state="visible" r:id="rId6"/>
    <sheet name="Budget Estimate" sheetId="5" state="visible" r:id="rId7"/>
    <sheet name="Sister Flight Info" sheetId="6" state="visible" r:id="rId8"/>
    <sheet name="Parents' Int'l Fligh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<sst xmlns="http://schemas.openxmlformats.org/spreadsheetml/2006/main" count="714" uniqueCount="555">
  <si>
    <t xml:space="preserve">GRADUATION TRIP MASTER ITINERARY — MAY 4–18, 2026</t>
  </si>
  <si>
    <t xml:space="preserve">Travelers: Ayush + Ram &amp; Pratibha (parents) + Astha (pickup Boston) | Simran joins for her graduation in West Haven, CT</t>
  </si>
  <si>
    <t xml:space="preserve">Date</t>
  </si>
  <si>
    <t xml:space="preserve">Time</t>
  </si>
  <si>
    <t xml:space="preserve">Activity</t>
  </si>
  <si>
    <t xml:space="preserve">Location</t>
  </si>
  <si>
    <t xml:space="preserve">Drive Time</t>
  </si>
  <si>
    <t xml:space="preserve">Details / Notes</t>
  </si>
  <si>
    <t xml:space="preserve">Action Items</t>
  </si>
  <si>
    <t xml:space="preserve">PRE-TRIP: RAM &amp; PRATIBHA — NEPAL TO USA + AUSTIN WEDDING (APR 22–28)</t>
  </si>
  <si>
    <t xml:space="preserve">Apr 22</t>
  </si>
  <si>
    <t xml:space="preserve">11:00 PM</t>
  </si>
  <si>
    <t xml:space="preserve">Depart Kathmandu → Singapore (SQ 441)</t>
  </si>
  <si>
    <t xml:space="preserve">KTM Tribhuvan Airport, Terminal I</t>
  </si>
  <si>
    <t xml:space="preserve">7h 20m flight</t>
  </si>
  <si>
    <t xml:space="preserve">Singapore Airlines | Booking Ref: DPSOSL | Tickets: 618-2470345931 (Pratibha), 618-2470345932 (Ram) | Economy class | 2-piece baggage each</t>
  </si>
  <si>
    <t xml:space="preserve">Check in by 9:00 PM KTM</t>
  </si>
  <si>
    <t xml:space="preserve">Apr 23</t>
  </si>
  <si>
    <t xml:space="preserve">6:20 AM</t>
  </si>
  <si>
    <t xml:space="preserve">Arrive Singapore (transit)</t>
  </si>
  <si>
    <t xml:space="preserve">Changi Airport, Terminal 0 → Terminal 3</t>
  </si>
  <si>
    <t xml:space="preserve">2h 55m layover</t>
  </si>
  <si>
    <t xml:space="preserve">Connecting to SQ 032 at Terminal 3 | No visa needed for transit</t>
  </si>
  <si>
    <t xml:space="preserve">9:15 AM</t>
  </si>
  <si>
    <t xml:space="preserve">Depart Singapore → San Francisco (SQ 032)</t>
  </si>
  <si>
    <t xml:space="preserve">Changi Airport Terminal 3</t>
  </si>
  <si>
    <t xml:space="preserve">~15h 25m flight</t>
  </si>
  <si>
    <t xml:space="preserve">Singapore Airlines | Economy class | 2-piece baggage each | Crosses International Date Line — arrives same day</t>
  </si>
  <si>
    <t xml:space="preserve">9:40 AM</t>
  </si>
  <si>
    <t xml:space="preserve">Arrive San Francisco (SFO)</t>
  </si>
  <si>
    <t xml:space="preserve">SFO International Terminal I</t>
  </si>
  <si>
    <t xml:space="preserve">—</t>
  </si>
  <si>
    <t xml:space="preserve">Ram &amp; Pratibha arrive SFO ~11 days before main family trip departs May 4</t>
  </si>
  <si>
    <t xml:space="preserve">Arrange pickup from SFO</t>
  </si>
  <si>
    <t xml:space="preserve">AUSTIN TRIP — Dip Uncle's Daughter's Wedding</t>
  </si>
  <si>
    <t xml:space="preserve">Apr 24</t>
  </si>
  <si>
    <t xml:space="preserve">11:25 AM</t>
  </si>
  <si>
    <t xml:space="preserve">Fly SFO → Austin (WN #0358)</t>
  </si>
  <si>
    <t xml:space="preserve">SFO Airport</t>
  </si>
  <si>
    <t xml:space="preserve">3h 30m | arrives 4:55 PM</t>
  </si>
  <si>
    <t xml:space="preserve">Southwest Airlines | Conf: B9X9O6 | Pratibha Ticket: 5262130927350 | Ram Ticket: 5262130927351 | Total paid: $196.80 | Basic fare (1 carry-on + 1 personal item)</t>
  </si>
  <si>
    <t xml:space="preserve">Check in online 24 hrs before</t>
  </si>
  <si>
    <t xml:space="preserve">Apr 24–28</t>
  </si>
  <si>
    <t xml:space="preserve">Attend wedding &amp; stay in Austin</t>
  </si>
  <si>
    <t xml:space="preserve">Austin, TX</t>
  </si>
  <si>
    <t xml:space="preserve">4 nights</t>
  </si>
  <si>
    <t xml:space="preserve">Dip uncle's daughter's wedding event | Arrange accommodation in Austin</t>
  </si>
  <si>
    <t xml:space="preserve">Book Austin hotel/accommodation</t>
  </si>
  <si>
    <t xml:space="preserve">Apr 28</t>
  </si>
  <si>
    <t xml:space="preserve">3:02 PM</t>
  </si>
  <si>
    <t xml:space="preserve">Fly Austin → San Francisco (DL 1077)</t>
  </si>
  <si>
    <t xml:space="preserve">Austin AUS, Terminal TBD</t>
  </si>
  <si>
    <t xml:space="preserve">3h 49m | arrives 4:51 PM</t>
  </si>
  <si>
    <t xml:space="preserve">Delta Airlines | Conf: HBMBJX | Ram eTicket: 0067365705380 | Pratibha eTicket: 0067365705381 | Delta Main Basic (E) | Airbus A319 | Nonstop</t>
  </si>
  <si>
    <t xml:space="preserve">Apr 28–May 3</t>
  </si>
  <si>
    <t xml:space="preserve">4:51 PM</t>
  </si>
  <si>
    <t xml:space="preserve">Back at SFO — rest &amp; prep before family trip</t>
  </si>
  <si>
    <t xml:space="preserve">San Francisco, CA</t>
  </si>
  <si>
    <t xml:space="preserve">~6 days</t>
  </si>
  <si>
    <t xml:space="preserve">Ram &amp; Pratibha have ~6 days at home before all fly SFO→BOS on May 4</t>
  </si>
  <si>
    <t xml:space="preserve">Confirm all packing, docs, visas</t>
  </si>
  <si>
    <t xml:space="preserve">Mon, May 4 — DEPARTURE DAY — SFO to Boston</t>
  </si>
  <si>
    <t xml:space="preserve">May 4</t>
  </si>
  <si>
    <t xml:space="preserve">8:45 PM</t>
  </si>
  <si>
    <t xml:space="preserve">Depart SFO → BOS (JetBlue)</t>
  </si>
  <si>
    <t xml:space="preserve">5h 42m flight</t>
  </si>
  <si>
    <t xml:space="preserve">Arrives 5:27 AM May 5. All 4 fly together (Astha joins from BOS). Pack carry-on for overnight.</t>
  </si>
  <si>
    <t xml:space="preserve">Check in online 24h before</t>
  </si>
  <si>
    <t xml:space="preserve">Tue May 5 — BOSTON → ROCHESTER (Driving Day)</t>
  </si>
  <si>
    <t xml:space="preserve">May 5</t>
  </si>
  <si>
    <t xml:space="preserve">5:27 AM</t>
  </si>
  <si>
    <t xml:space="preserve">Arrive Boston Logan (BOS)</t>
  </si>
  <si>
    <t xml:space="preserve">Boston, MA</t>
  </si>
  <si>
    <t xml:space="preserve">Clear baggage, freshen up</t>
  </si>
  <si>
    <t xml:space="preserve">6:00–7:00 AM</t>
  </si>
  <si>
    <t xml:space="preserve">Pick up rental car at BOS airport</t>
  </si>
  <si>
    <t xml:space="preserve">Logan Airport</t>
  </si>
  <si>
    <t xml:space="preserve">Book midsize SUV (4 people + luggage). Return location: BOS.</t>
  </si>
  <si>
    <t xml:space="preserve">Book rental car — pick up BOS, return BOS May 18</t>
  </si>
  <si>
    <t xml:space="preserve">7:00–7:30 AM</t>
  </si>
  <si>
    <t xml:space="preserve">Drive to Tufts University</t>
  </si>
  <si>
    <t xml:space="preserve">Medford, MA</t>
  </si>
  <si>
    <t xml:space="preserve">~20 min</t>
  </si>
  <si>
    <t xml:space="preserve">Pick up Astha. She should be packed and ready.</t>
  </si>
  <si>
    <t xml:space="preserve">Coordinate with Astha for pickup time</t>
  </si>
  <si>
    <t xml:space="preserve">7:30–8:15 AM</t>
  </si>
  <si>
    <t xml:space="preserve">Breakfast near Tufts / Somerville</t>
  </si>
  <si>
    <t xml:space="preserve">Somerville, MA</t>
  </si>
  <si>
    <t xml:space="preserve">Quick breakfast stop — Diner or Dunkin</t>
  </si>
  <si>
    <t xml:space="preserve">8:15 AM – 2:30 PM</t>
  </si>
  <si>
    <t xml:space="preserve">Drive Boston → Rochester, NY</t>
  </si>
  <si>
    <t xml:space="preserve">I-90 W / I-90 W / I-490</t>
  </si>
  <si>
    <t xml:space="preserve">~6 hrs</t>
  </si>
  <si>
    <t xml:space="preserve">392 miles. 1 rest stop around Syracuse. Lunch on the road.</t>
  </si>
  <si>
    <t xml:space="preserve">2:30–3:00 PM</t>
  </si>
  <si>
    <t xml:space="preserve">Check in to hotel/Airbnb</t>
  </si>
  <si>
    <t xml:space="preserve">Rochester, NY</t>
  </si>
  <si>
    <t xml:space="preserve">✓ Booked: HMT995PXZS (May 5–8, $600, 3 nights). Still need 1 night for May 8–9.</t>
  </si>
  <si>
    <t xml:space="preserve">✓ May 5–8 BOOKED (HMT995PXZS). Still need: Book May 8–9 (1 night)</t>
  </si>
  <si>
    <t xml:space="preserve">3:00 PM onward</t>
  </si>
  <si>
    <t xml:space="preserve">Rest &amp; settle in / explore Rochester</t>
  </si>
  <si>
    <t xml:space="preserve">Grocery run, light dinner. Catch up with old friends.</t>
  </si>
  <si>
    <t xml:space="preserve">Reach out to Rochester friends</t>
  </si>
  <si>
    <t xml:space="preserve">Wed, May 6 — PhD HOODING REHEARSAL + DAY TRIP</t>
  </si>
  <si>
    <t xml:space="preserve">May 6</t>
  </si>
  <si>
    <t xml:space="preserve">Morning</t>
  </si>
  <si>
    <t xml:space="preserve">Free morning — Day trip or leisure</t>
  </si>
  <si>
    <t xml:space="preserve">Rochester area</t>
  </si>
  <si>
    <t xml:space="preserve">Rehearsal not until 3 PM. Use morning for a day trip (see options below).</t>
  </si>
  <si>
    <t xml:space="preserve">Confirm event timing with RIT</t>
  </si>
  <si>
    <t xml:space="preserve">3:00–4:30 PM EDT</t>
  </si>
  <si>
    <t xml:space="preserve">PhD Hooding Ceremony (Rehearsal)</t>
  </si>
  <si>
    <t xml:space="preserve">NTID — Panara Theater, RIT</t>
  </si>
  <si>
    <t xml:space="preserve">~1.5 hrs</t>
  </si>
  <si>
    <t xml:space="preserve">Rehearsal for hooding ceremony. Be there 15 min early. Done by 4:30 PM.</t>
  </si>
  <si>
    <t xml:space="preserve">Rest of day</t>
  </si>
  <si>
    <t xml:space="preserve">OPTION A: Niagara Falls (morning trip)</t>
  </si>
  <si>
    <t xml:space="preserve">Niagara Falls, NY</t>
  </si>
  <si>
    <t xml:space="preserve">~1.5 hrs each way</t>
  </si>
  <si>
    <t xml:space="preserve">Leave ~8 AM, 4–5 hrs at Falls. Maid of the Mist, Cave of the Winds. Return by 2 PM for rehearsal.</t>
  </si>
  <si>
    <t xml:space="preserve">Check if passport needed for Canadian side</t>
  </si>
  <si>
    <t xml:space="preserve">OPTION B: Letchworth State Park (morning trip)</t>
  </si>
  <si>
    <t xml:space="preserve">Letchworth, NY</t>
  </si>
  <si>
    <t xml:space="preserve">~1 hr each way</t>
  </si>
  <si>
    <t xml:space="preserve">✓ Booked: HMT995PXZS (May 5–8, $600, 3 nights). Address: 157 Vassar Street, Rochester, NY 14607. Still need 1 night for May 8–9.</t>
  </si>
  <si>
    <t xml:space="preserve">Thu, May 7 — GRAD RECEPTION + DAY TRIP</t>
  </si>
  <si>
    <t xml:space="preserve">May 7</t>
  </si>
  <si>
    <t xml:space="preserve">Morning–Early PM</t>
  </si>
  <si>
    <t xml:space="preserve">Free morning — Day trip or catch up with friends</t>
  </si>
  <si>
    <t xml:space="preserve">Reception not until 4 PM. Use morning for day trip (whichever not done May 6), or Finger Lakes wine tasting, or soccer with friends.</t>
  </si>
  <si>
    <t xml:space="preserve">Plan dinner with friends</t>
  </si>
  <si>
    <t xml:space="preserve">4:00–6:30 PM EDT</t>
  </si>
  <si>
    <t xml:space="preserve">2026 Graduate Student Commencement Reception</t>
  </si>
  <si>
    <t xml:space="preserve">Crossroads, RIT</t>
  </si>
  <si>
    <t xml:space="preserve">~2.5 hrs</t>
  </si>
  <si>
    <t xml:space="preserve">Graduate student celebration reception. Arrive 15 min early. Done by 6:30 PM.</t>
  </si>
  <si>
    <t xml:space="preserve">After 6:30 PM</t>
  </si>
  <si>
    <t xml:space="preserve">Dinner with old friends / soccer game</t>
  </si>
  <si>
    <t xml:space="preserve">Reception ends 6:30 PM. Late dinner/hangout with friends, or soccer earlier in the day before reception.</t>
  </si>
  <si>
    <t xml:space="preserve">Organize soccer game</t>
  </si>
  <si>
    <t xml:space="preserve">Fri, May 8 — DOCTORAL HOODING + GCCIS RECEPTION</t>
  </si>
  <si>
    <t xml:space="preserve">May 8</t>
  </si>
  <si>
    <t xml:space="preserve">Free morning — last chance to explore Rochester</t>
  </si>
  <si>
    <t xml:space="preserve">Hooding not until 1:30 PM. Light morning — pack if checking out next day.</t>
  </si>
  <si>
    <t xml:space="preserve">Confirm ceremony time, venue, guest tickets</t>
  </si>
  <si>
    <t xml:space="preserve">1:30–3:00 PM EDT</t>
  </si>
  <si>
    <t xml:space="preserve">Doctoral Hooding Ceremony</t>
  </si>
  <si>
    <t xml:space="preserve">Main hooding ceremony! Dress formal. Arrive 30 min early. Done by 3:00 PM.</t>
  </si>
  <si>
    <t xml:space="preserve">Make restaurant reservation</t>
  </si>
  <si>
    <t xml:space="preserve">2026 GCCIS Ph.D. Graduates' Reception</t>
  </si>
  <si>
    <t xml:space="preserve">082-ENT-1130 McGowan Commons, RIT</t>
  </si>
  <si>
    <t xml:space="preserve">GCCIS department-specific PhD celebration. Right after hooding. Done by 4:30 PM.</t>
  </si>
  <si>
    <t xml:space="preserve">Evening</t>
  </si>
  <si>
    <t xml:space="preserve">Celebration dinner 🎓</t>
  </si>
  <si>
    <t xml:space="preserve">Rochester</t>
  </si>
  <si>
    <t xml:space="preserve">Nice restaurant. Celebrate the big day! Book ahead for 4+ people.</t>
  </si>
  <si>
    <t xml:space="preserve">Sat, May 9 — COMMENCEMENT + DEPART ROCHESTER → NJ TEMPLE</t>
  </si>
  <si>
    <t xml:space="preserve">May 9</t>
  </si>
  <si>
    <t xml:space="preserve">9:00 AM–12:30 PM EDT</t>
  </si>
  <si>
    <t xml:space="preserve">Golisano Commencement Ceremony I — CS &amp; Cybersecurity</t>
  </si>
  <si>
    <t xml:space="preserve">Gordon Field House, RIT</t>
  </si>
  <si>
    <t xml:space="preserve">~3.5 hrs</t>
  </si>
  <si>
    <t xml:space="preserve">Golisano College commencement — Computer Science &amp; Cybersecurity. Arrive 30 min early. Done by 12:30 PM.</t>
  </si>
  <si>
    <t xml:space="preserve">~1:00 PM</t>
  </si>
  <si>
    <t xml:space="preserve">Check out Rochester — Depart for NJ</t>
  </si>
  <si>
    <t xml:space="preserve">~2–3 hrs</t>
  </si>
  <si>
    <t xml:space="preserve">Ceremony ends 12:30 PM. Pack car, check out. Grab lunch on the road. Arrive NJ by ~6:30 PM.</t>
  </si>
  <si>
    <t xml:space="preserve">1:00–6:30 PM</t>
  </si>
  <si>
    <t xml:space="preserve">Drive Rochester → Robbinsville, NJ</t>
  </si>
  <si>
    <t xml:space="preserve">I-390 S / I-81 S / I-78 E</t>
  </si>
  <si>
    <t xml:space="preserve">~5–5.5 hrs</t>
  </si>
  <si>
    <t xml:space="preserve">~310 miles. Optional stop at Watkins Glen en route (30 min detour).</t>
  </si>
  <si>
    <t xml:space="preserve">6:30–7:30 PM</t>
  </si>
  <si>
    <t xml:space="preserve">Visit BAPS Akshardham Temple</t>
  </si>
  <si>
    <t xml:space="preserve">Robbinsville, NJ</t>
  </si>
  <si>
    <t xml:space="preserve">~2 hrs</t>
  </si>
  <si>
    <t xml:space="preserve">Open until 7:30 PM. Tight window (~1 hr) if arriving 6:30 PM — could also visit May 10 morning instead. Reserve online. Dress modestly. Ram &amp; Pratibha will love this!</t>
  </si>
  <si>
    <t xml:space="preserve">Reserve temple visit online at baps.org</t>
  </si>
  <si>
    <t xml:space="preserve">Drive to NYC area / stay near NJ</t>
  </si>
  <si>
    <t xml:space="preserve">NYC / NJ</t>
  </si>
  <si>
    <t xml:space="preserve">~1 hr to NYC</t>
  </si>
  <si>
    <t xml:space="preserve">Drive to Ajit uncle's or stay at a hotel near Robbinsville. Dinner in NJ or NYC.</t>
  </si>
  <si>
    <t xml:space="preserve">Coordinate with Ajit uncle / Book NJ hotel</t>
  </si>
  <si>
    <t xml:space="preserve">Sun, May 10 — NYC / UNCLE VISIT + SIGHTSEEING</t>
  </si>
  <si>
    <t xml:space="preserve">May 10</t>
  </si>
  <si>
    <t xml:space="preserve">All day</t>
  </si>
  <si>
    <t xml:space="preserve">NYC sightseeing + visit uncle</t>
  </si>
  <si>
    <t xml:space="preserve">New York City</t>
  </si>
  <si>
    <t xml:space="preserve">~3–4 hrs</t>
  </si>
  <si>
    <t xml:space="preserve">Times Square, Central Park, Statue of Liberty, etc. Quality time with Ajit uncle. Stay at Ajit uncle's or NYC hotel.</t>
  </si>
  <si>
    <t xml:space="preserve">Coordinate with Ajit uncle</t>
  </si>
  <si>
    <t xml:space="preserve">Drive NYC → Boston area (or stay another night)</t>
  </si>
  <si>
    <t xml:space="preserve">I-95 N</t>
  </si>
  <si>
    <t xml:space="preserve">~4 hrs</t>
  </si>
  <si>
    <t xml:space="preserve">Or stay another night in NYC and drive May 11 morning.</t>
  </si>
  <si>
    <t xml:space="preserve">Mon, May 11 — DRIVE TO BOSTON / SUNITA AUNTY (Fall River)</t>
  </si>
  <si>
    <t xml:space="preserve">May 11</t>
  </si>
  <si>
    <t xml:space="preserve">If in NYC: drive to Boston (~4 hrs)</t>
  </si>
  <si>
    <t xml:space="preserve">Arrive Boston by early afternoon.</t>
  </si>
  <si>
    <t xml:space="preserve">Afternoon</t>
  </si>
  <si>
    <t xml:space="preserve">Visit Sunita aunty at Fall River, MA</t>
  </si>
  <si>
    <t xml:space="preserve">Fall River, MA</t>
  </si>
  <si>
    <t xml:space="preserve">~1 hr from Boston</t>
  </si>
  <si>
    <t xml:space="preserve">Stay the night at Sunita aunty's house.</t>
  </si>
  <si>
    <t xml:space="preserve">Coordinate with Sunita aunty for visit/stay</t>
  </si>
  <si>
    <t xml:space="preserve">Astha returns to Tufts</t>
  </si>
  <si>
    <t xml:space="preserve">Drop Astha at Tufts — her graduation week starts.</t>
  </si>
  <si>
    <t xml:space="preserve">Tue-Wed, May 12–13 — DC TRIP (2-Day Option)</t>
  </si>
  <si>
    <t xml:space="preserve">May 12</t>
  </si>
  <si>
    <t xml:space="preserve">Boston → Washington DC</t>
  </si>
  <si>
    <t xml:space="preserve">Amtrak / I-95 S / Flight</t>
  </si>
  <si>
    <t xml:space="preserve">~6.5–7.5 hrs</t>
  </si>
  <si>
    <t xml:space="preserve">Options: Amtrak NE Regional from South Station (~7.5 hrs, ~$50–110/pp) or Acela (~6.5 hrs, ~$100–200/pp). Also: drive ~7.5 hrs or fly ~1.5 hrs. Train = scenic, no car hassle in DC (use Metro).</t>
  </si>
  <si>
    <t xml:space="preserve">Book Amtrak tickets BOS→DC early for best price</t>
  </si>
  <si>
    <t xml:space="preserve">Afternoon/Eve</t>
  </si>
  <si>
    <t xml:space="preserve">DC sightseeing — National Mall</t>
  </si>
  <si>
    <t xml:space="preserve">Washington, DC</t>
  </si>
  <si>
    <t xml:space="preserve">Lincoln Memorial, Washington Monument, Capitol. Evening: Georgetown.</t>
  </si>
  <si>
    <t xml:space="preserve">Book DC hotel for 1 night</t>
  </si>
  <si>
    <t xml:space="preserve">May 13</t>
  </si>
  <si>
    <t xml:space="preserve">More DC sightseeing — Smithsonian museums</t>
  </si>
  <si>
    <t xml:space="preserve">Air &amp; Space Museum, Natural History. All free!</t>
  </si>
  <si>
    <t xml:space="preserve">DC → Boston (return)</t>
  </si>
  <si>
    <t xml:space="preserve">Amtrak / I-95 N / Flight</t>
  </si>
  <si>
    <t xml:space="preserve">Amtrak NE Regional (~7.5 hrs, ~$50–110/pp) or Acela (~6.5 hrs, ~$100–200/pp). Depart Union Station ~2–3 PM, arrive Boston ~9–10 PM. Or fly ~1.5 hrs.</t>
  </si>
  <si>
    <t xml:space="preserve">Book Amtrak tickets DC→BOS</t>
  </si>
  <si>
    <t xml:space="preserve">Thurs, May 14 — REST / BOSTON + DROP RAM &amp; PRATIBHA AT SUNITA AUNTY'S</t>
  </si>
  <si>
    <t xml:space="preserve">May 14</t>
  </si>
  <si>
    <t xml:space="preserve">Morning–Afternoon</t>
  </si>
  <si>
    <t xml:space="preserve">Explore Boston / Rest day</t>
  </si>
  <si>
    <t xml:space="preserve">Freedom Trail, Faneuil Hall, Harvard/MIT campus walk. Rest before Simran's graduation trip.</t>
  </si>
  <si>
    <t xml:space="preserve">Drive to Fall River — drop Ram &amp; Pratibha at Sunita aunty's</t>
  </si>
  <si>
    <t xml:space="preserve">~1 hr</t>
  </si>
  <si>
    <t xml:space="preserve">Parents stay at Sunita aunty's while you drive to CT for Simran's graduation. Pack overnight bag.</t>
  </si>
  <si>
    <t xml:space="preserve">Confirm with Sunita aunty for 2-night stay (May 14–16)</t>
  </si>
  <si>
    <t xml:space="preserve">Fri, May 15 — SIMRAN'S GRADUATION (West Haven, CT)</t>
  </si>
  <si>
    <t xml:space="preserve">May 15</t>
  </si>
  <si>
    <t xml:space="preserve">5:00–6:00 AM</t>
  </si>
  <si>
    <t xml:space="preserve">Drive Fall River → West Haven, CT</t>
  </si>
  <si>
    <t xml:space="preserve">I-195 W / I-95 S</t>
  </si>
  <si>
    <t xml:space="preserve">Leave early morning from Sunita aunty's. ~130 miles. Arrive by ~8:30 AM.</t>
  </si>
  <si>
    <t xml:space="preserve">Confirm Simran's graduation timing/venue</t>
  </si>
  <si>
    <t xml:space="preserve">As scheduled</t>
  </si>
  <si>
    <t xml:space="preserve">Attend Simran's graduation event</t>
  </si>
  <si>
    <t xml:space="preserve">West Haven, CT</t>
  </si>
  <si>
    <t xml:space="preserve">Support Simran at her graduation ceremony. University of New Haven area.</t>
  </si>
  <si>
    <t xml:space="preserve">Stay overnight in West Haven / New Haven area</t>
  </si>
  <si>
    <t xml:space="preserve">Celebrate with Simran. Dinner in New Haven (great pizza scene — Frank Pepe's, Sally's).</t>
  </si>
  <si>
    <t xml:space="preserve">Book 1-night hotel/Airbnb in West Haven/New Haven</t>
  </si>
  <si>
    <t xml:space="preserve">Sat, May 16 — RETURN TO BOSTON / PICK UP PARENTS</t>
  </si>
  <si>
    <t xml:space="preserve">May 16</t>
  </si>
  <si>
    <t xml:space="preserve">Drive West Haven → Fall River (pick up Ram &amp; Pratibha)</t>
  </si>
  <si>
    <t xml:space="preserve">I-95 N / I-195 E</t>
  </si>
  <si>
    <t xml:space="preserve">Drive directly to Fall River to pick up parents from Sunita aunty's. Arrive by evening.</t>
  </si>
  <si>
    <t xml:space="preserve">Dinner with Sunita aunty / drive to Boston</t>
  </si>
  <si>
    <t xml:space="preserve">Fall River / Boston</t>
  </si>
  <si>
    <t xml:space="preserve">~1 hr to Boston</t>
  </si>
  <si>
    <t xml:space="preserve">Spend evening with Sunita aunty or head back to Boston. Prep for Astha's graduation next day.</t>
  </si>
  <si>
    <t xml:space="preserve">Sun, May 17 — ASTHA'S GRADUATION (Tufts) + SUNITA AUNTY VISIT</t>
  </si>
  <si>
    <t xml:space="preserve">May 17</t>
  </si>
  <si>
    <t xml:space="preserve">Until 5:00 PM</t>
  </si>
  <si>
    <t xml:space="preserve">Astha's graduation event at Tufts</t>
  </si>
  <si>
    <t xml:space="preserve">Tufts University, Medford</t>
  </si>
  <si>
    <t xml:space="preserve">~Full day</t>
  </si>
  <si>
    <t xml:space="preserve">Attend Astha's graduation ceremony and celebrations. Event ends ~5 PM. Whole family present!</t>
  </si>
  <si>
    <t xml:space="preserve">Confirm Astha's graduation timing</t>
  </si>
  <si>
    <t xml:space="preserve">After 5:00 PM</t>
  </si>
  <si>
    <t xml:space="preserve">Visit Sunita aunty at Fall River (optional)</t>
  </si>
  <si>
    <t xml:space="preserve">Evening visit / stay night before flight. Say goodbye to Sunita aunty. Or head back to Boston.</t>
  </si>
  <si>
    <t xml:space="preserve">Mon, May 18 — DEPARTURE DAY — BOS to SFO</t>
  </si>
  <si>
    <t xml:space="preserve">May 18</t>
  </si>
  <si>
    <t xml:space="preserve">Return rental car at BOS airport</t>
  </si>
  <si>
    <t xml:space="preserve">Return car. Allow 2+ hrs before flight for car return + security.</t>
  </si>
  <si>
    <t xml:space="preserve">Rental car for ~13 days (May 5–18)</t>
  </si>
  <si>
    <t xml:space="preserve">8:21 PM</t>
  </si>
  <si>
    <t xml:space="preserve">Depart BOS → SFO (JetBlue)</t>
  </si>
  <si>
    <t xml:space="preserve">BOS Airport</t>
  </si>
  <si>
    <t xml:space="preserve">6h 38m flight</t>
  </si>
  <si>
    <t xml:space="preserve">Arrives 11:59 PM SFO (same day, PDT).</t>
  </si>
  <si>
    <t xml:space="preserve">11:59 PM</t>
  </si>
  <si>
    <t xml:space="preserve">Arrive SFO</t>
  </si>
  <si>
    <t xml:space="preserve">San Francisco</t>
  </si>
  <si>
    <t xml:space="preserve">All 4 arrive SFO. Astha flies back SFO → BOS around June 20 (round-trip BOS↔SFO).</t>
  </si>
  <si>
    <t xml:space="preserve">Book Astha's round-trip BOS→SFO→BOS (outbound May 18, return ~June 20)</t>
  </si>
  <si>
    <t xml:space="preserve">POST-TRIP: RAM &amp; PRATIBHA — RETURN TO NEPAL (JUNE 17–19, 2026)</t>
  </si>
  <si>
    <t xml:space="preserve">Jun 17</t>
  </si>
  <si>
    <t xml:space="preserve">11:30 AM</t>
  </si>
  <si>
    <t xml:space="preserve">Depart SFO → Singapore (SQ 031)</t>
  </si>
  <si>
    <t xml:space="preserve">SFO Terminal I</t>
  </si>
  <si>
    <t xml:space="preserve">~16h 40m flight</t>
  </si>
  <si>
    <t xml:space="preserve">Singapore Airlines | Booking Ref: DPSOSL | Economy class | 2-piece baggage each</t>
  </si>
  <si>
    <t xml:space="preserve">Jun 18</t>
  </si>
  <si>
    <t xml:space="preserve">7:10 PM</t>
  </si>
  <si>
    <t xml:space="preserve">Arrive Singapore (long transit)</t>
  </si>
  <si>
    <t xml:space="preserve">Changi Airport Terminal 0</t>
  </si>
  <si>
    <t xml:space="preserve">~23h 45m layover</t>
  </si>
  <si>
    <t xml:space="preserve">Long overnight layover in Singapore — may need transit hotel at Changi</t>
  </si>
  <si>
    <t xml:space="preserve">Check Singapore transit visa rules / consider Changi transit hotel</t>
  </si>
  <si>
    <t xml:space="preserve">Jun 19</t>
  </si>
  <si>
    <t xml:space="preserve">6:55 PM</t>
  </si>
  <si>
    <t xml:space="preserve">Depart Singapore → Kathmandu (SQ 442)</t>
  </si>
  <si>
    <t xml:space="preserve">Changi Airport Terminal 2</t>
  </si>
  <si>
    <t xml:space="preserve">~4h 50m flight</t>
  </si>
  <si>
    <t xml:space="preserve">Singapore Airlines | Economy class</t>
  </si>
  <si>
    <t xml:space="preserve">9:45 PM</t>
  </si>
  <si>
    <t xml:space="preserve">Arrive Kathmandu (KTM)</t>
  </si>
  <si>
    <t xml:space="preserve">Tribhuvan Airport, Terminal I</t>
  </si>
  <si>
    <t xml:space="preserve">Ram &amp; Pratibha arrive home in Nepal ✓ Trip complete!</t>
  </si>
  <si>
    <t xml:space="preserve">KEY DRIVING DISTANCES &amp; TIMES</t>
  </si>
  <si>
    <t xml:space="preserve">From</t>
  </si>
  <si>
    <t xml:space="preserve">To</t>
  </si>
  <si>
    <t xml:space="preserve">Miles</t>
  </si>
  <si>
    <t xml:space="preserve">Notes</t>
  </si>
  <si>
    <t xml:space="preserve">Boston Logan Airport</t>
  </si>
  <si>
    <t xml:space="preserve">Tufts University (Medford)</t>
  </si>
  <si>
    <t xml:space="preserve">Short hop on I-93</t>
  </si>
  <si>
    <t xml:space="preserve">Via I-90 W (Mass Pike → NYS Thruway)</t>
  </si>
  <si>
    <t xml:space="preserve">Via I-90 W</t>
  </si>
  <si>
    <t xml:space="preserve">Letchworth State Park</t>
  </si>
  <si>
    <t xml:space="preserve">Via I-390 S</t>
  </si>
  <si>
    <t xml:space="preserve">Watkins Glen, NY</t>
  </si>
  <si>
    <t xml:space="preserve">Finger Lakes — gorge trail</t>
  </si>
  <si>
    <t xml:space="preserve">Seneca Lake Wine Trail</t>
  </si>
  <si>
    <t xml:space="preserve">~1.25 hrs</t>
  </si>
  <si>
    <t xml:space="preserve">Wine tasting route</t>
  </si>
  <si>
    <t xml:space="preserve">Robbinsville, NJ (BAPS)</t>
  </si>
  <si>
    <t xml:space="preserve">Via I-390 S → I-81 S → I-78 E</t>
  </si>
  <si>
    <t xml:space="preserve">NYC</t>
  </si>
  <si>
    <t xml:space="preserve">Via I-90 E → I-87 S</t>
  </si>
  <si>
    <t xml:space="preserve">Via I-390 → I-99 → I-81</t>
  </si>
  <si>
    <t xml:space="preserve">~1–1.5 hrs</t>
  </si>
  <si>
    <t xml:space="preserve">Via NJ Turnpike</t>
  </si>
  <si>
    <t xml:space="preserve">Via I-95 S</t>
  </si>
  <si>
    <t xml:space="preserve">Via I-95 N</t>
  </si>
  <si>
    <t xml:space="preserve">Visit Sunita aunty</t>
  </si>
  <si>
    <t xml:space="preserve">~7.5 hrs</t>
  </si>
  <si>
    <t xml:space="preserve">Via I-95 S — consider Amtrak or flight</t>
  </si>
  <si>
    <t xml:space="preserve">Via I-195 W / I-95 S — Simran's graduation trip</t>
  </si>
  <si>
    <t xml:space="preserve">Via I-95 S — direct from Boston</t>
  </si>
  <si>
    <t xml:space="preserve">Via I-95 N / I-195 E — return from Simran's graduation to pick up parents</t>
  </si>
  <si>
    <t xml:space="preserve">ROUTE OPTIONS: Rochester → Boston (May 9–13)</t>
  </si>
  <si>
    <t xml:space="preserve">After graduation, you have ~4 days before needing to be in Boston. Here are 3 route options:</t>
  </si>
  <si>
    <t xml:space="preserve">Option A: NJ Temple + NYC + DC</t>
  </si>
  <si>
    <t xml:space="preserve">Option B: NYC + DC (skip NJ temple)</t>
  </si>
  <si>
    <t xml:space="preserve">Option C: Direct to Boston + DC by train/flight</t>
  </si>
  <si>
    <t xml:space="preserve">May 9 (Sat)</t>
  </si>
  <si>
    <t xml:space="preserve">Ceremony I 9 AM–12:30 PM. Depart ~1 PM. Drive to NJ (~5.5 hrs). Arrive ~6:30 PM. Visit BAPS Temple (6:30–7:30 PM, tight). Stay NJ/NYC.</t>
  </si>
  <si>
    <t xml:space="preserve">Ceremony I 9 AM–12:30 PM. Depart ~1 PM. Drive to NYC (~6 hrs). Arrive ~7 PM. Ajit uncle visit + dinner. Stay NYC.</t>
  </si>
  <si>
    <t xml:space="preserve">Ceremony I 9 AM–12:30 PM. Depart ~1 PM. Drive to Boston (~6 hrs). Arrive ~7 PM. Stay Boston.</t>
  </si>
  <si>
    <t xml:space="preserve">May 10 (Sun)</t>
  </si>
  <si>
    <t xml:space="preserve">NYC sightseeing + Ajit uncle visit. Full day free since temple done May 9 evening. Stay NYC.</t>
  </si>
  <si>
    <t xml:space="preserve">NYC sightseeing (Statue of Liberty, Central Park, etc) + Ajit uncle visit. Stay NYC.</t>
  </si>
  <si>
    <t xml:space="preserve">Rest day in Boston / explore. Or day trip to Sunita aunty (Fall River).</t>
  </si>
  <si>
    <t xml:space="preserve">May 11 (Sun)</t>
  </si>
  <si>
    <t xml:space="preserve">Drive NYC → Boston (~4 hrs). Drop Astha at Tufts. Visit Sunita aunty at Fall River. Stay at Sunita aunty's.</t>
  </si>
  <si>
    <t xml:space="preserve">Visit Sunita aunty (Fall River). Drop Astha at Tufts. Stay Boston.</t>
  </si>
  <si>
    <t xml:space="preserve">May 12 (Mon)</t>
  </si>
  <si>
    <t xml:space="preserve">Boston → DC. Options: (1) Amtrak Northeast Regional ~7.5 hrs, ~$50–110/pp (2) Amtrak Acela ~6.5 hrs, ~$100–200/pp (3) Drive ~7.5 hrs (4) Fly ~1.5 hrs, ~$100–250/pp. Train = scenic, no car hassle in DC. Depart Boston South Station AM, arrive DC Union Station by afternoon. DC sightseeing PM. Stay DC.</t>
  </si>
  <si>
    <t xml:space="preserve">Boston → DC. Options: (1) Amtrak Northeast Regional ~7.5 hrs, ~$50–110/pp (2) Amtrak Acela ~6.5 hrs, ~$100–200/pp (3) Drive ~7.5 hrs (4) Fly ~1.5 hrs. Train is relaxed, scenic NE Corridor. Depart South Station AM. DC sightseeing PM. Stay DC.</t>
  </si>
  <si>
    <t xml:space="preserve">Boston → DC. Amtrak recommended: Northeast Regional ~7.5 hrs, ~$50–110/pp or Acela ~6.5 hrs, ~$100–200/pp. No car = easy Metro in DC. Depart South Station early AM. Full day DC sightseeing. Stay DC.</t>
  </si>
  <si>
    <t xml:space="preserve">May 13 (Tue)</t>
  </si>
  <si>
    <t xml:space="preserve">DC sightseeing AM. DC → Boston PM. Options: (1) Amtrak NE Regional ~7.5 hrs, ~$50–110/pp (2) Acela ~6.5 hrs, ~$100–200/pp (3) Drive ~7.5 hrs (4) Fly ~1.5 hrs. Arrive Boston evening.</t>
  </si>
  <si>
    <t xml:space="preserve">DC sightseeing AM. DC → Boston PM. Options: (1) Amtrak NE Regional ~7.5 hrs (2) Acela ~6.5 hrs (3) Drive ~7.5 hrs (4) Fly ~1.5 hrs. Arrive Boston evening.</t>
  </si>
  <si>
    <t xml:space="preserve">DC sightseeing AM. DC → Boston PM. Amtrak NE Regional ~7.5 hrs or Acela ~6.5 hrs. Depart Union Station ~2–3 PM, arrive Boston ~9–10 PM.</t>
  </si>
  <si>
    <t xml:space="preserve">PROS</t>
  </si>
  <si>
    <t xml:space="preserve">Parents see the temple. Covers all destinations. Ajit uncle visit fits naturally. Amtrak to DC = relaxed, scenic.</t>
  </si>
  <si>
    <t xml:space="preserve">Less driving. More NYC time. Ajit uncle visit covered. Amtrak to DC avoids more driving fatigue.</t>
  </si>
  <si>
    <t xml:space="preserve">Least driving stress. Amtrak to DC is ideal — no car needed, Metro covers everything in DC.</t>
  </si>
  <si>
    <t xml:space="preserve">CONS</t>
  </si>
  <si>
    <t xml:space="preserve">Most driving overall. But noon departure makes temple visit same evening viable.</t>
  </si>
  <si>
    <t xml:space="preserve">Skips NJ temple (can visit another trip?). Still a lot of driving.</t>
  </si>
  <si>
    <t xml:space="preserve">Misses NJ temple &amp; NYC (Ajit uncle). Need to plan uncle visit separately. But least stressful.</t>
  </si>
  <si>
    <t xml:space="preserve">Total Drive</t>
  </si>
  <si>
    <t xml:space="preserve">~16.5 hrs driving (Rochester→NJ→NYC→Boston) + DC by Amtrak (~7.5 hrs RT) or drive/fly</t>
  </si>
  <si>
    <t xml:space="preserve">~14 hrs driving (Rochester→NYC→Boston) + DC by Amtrak (~7.5 hrs RT) or drive/fly</t>
  </si>
  <si>
    <t xml:space="preserve">~6 hrs driving + DC by Amtrak (~15 hrs RT) or 2 flights</t>
  </si>
  <si>
    <t xml:space="preserve">BOOKING &amp; ACTION ITEMS CHECKLIST</t>
  </si>
  <si>
    <t xml:space="preserve">#</t>
  </si>
  <si>
    <t xml:space="preserve">Item</t>
  </si>
  <si>
    <t xml:space="preserve">Category</t>
  </si>
  <si>
    <t xml:space="preserve">Details</t>
  </si>
  <si>
    <t xml:space="preserve">Status</t>
  </si>
  <si>
    <t xml:space="preserve">Book JetBlue flights — Ayush + Ram + Pratibha</t>
  </si>
  <si>
    <t xml:space="preserve">Flights</t>
  </si>
  <si>
    <t xml:space="preserve">3 round-trip SFO→BOS May 4 8:45 PM; BOS→SFO May 18 8:21 PM.</t>
  </si>
  <si>
    <t xml:space="preserve">Book Astha round-trip BOS↔SFO</t>
  </si>
  <si>
    <t xml:space="preserve">BOS→SFO ~May 3–4 (to join family). Return SFO→BOS ~June 20.</t>
  </si>
  <si>
    <t xml:space="preserve">Book rental car at BOS Logan</t>
  </si>
  <si>
    <t xml:space="preserve">Car Rental</t>
  </si>
  <si>
    <t xml:space="preserve">Pickup: May 5 ~6 AM. Return: May 18 ~5 PM. Midsize SUV for 4+luggage. ~13 days.</t>
  </si>
  <si>
    <t xml:space="preserve">Book Rochester Airbnb/hotel (4 ppl)</t>
  </si>
  <si>
    <t xml:space="preserve">Accommodation</t>
  </si>
  <si>
    <t xml:space="preserve">May 5–8: BOOKED ✓ (HMT995PXZS, $600, 3 nights). Address: 157 Vassar Street, Rochester, NY 14607. May 8–9: STILL NEED TO BOOK (1 night).</t>
  </si>
  <si>
    <t xml:space="preserve">✓ BOOKED: HMT995PXZS (May 5–8, $600). Address: 157 Vassar Street, Rochester, NY 14607. May 8–9 still needed.</t>
  </si>
  <si>
    <t xml:space="preserve">Book NJ/NYC hotel (1–2 nights)</t>
  </si>
  <si>
    <t xml:space="preserve">May 9–10 or May 10–11. Near Ajit uncle or Robbinsville.</t>
  </si>
  <si>
    <t xml:space="preserve">Book DC hotel (1 night)</t>
  </si>
  <si>
    <t xml:space="preserve">May 12. Near National Mall.</t>
  </si>
  <si>
    <t xml:space="preserve">Book Boston area stay (May 11–18)</t>
  </si>
  <si>
    <t xml:space="preserve">Stay with Sunita aunty at Fall River some nights. Hotel for rest.</t>
  </si>
  <si>
    <t xml:space="preserve">Reserve BAPS Temple visit online</t>
  </si>
  <si>
    <t xml:space="preserve">Activities</t>
  </si>
  <si>
    <t xml:space="preserve">baps.org — free but reservation required on weekends. Open 9 AM–7:30 PM. Closed Tuesdays.</t>
  </si>
  <si>
    <t xml:space="preserve">Confirm RIT grad events schedule</t>
  </si>
  <si>
    <t xml:space="preserve">Graduation</t>
  </si>
  <si>
    <t xml:space="preserve">May 6, 7 event times. May 8 convocation time/venue/guest tickets.</t>
  </si>
  <si>
    <t xml:space="preserve">Confirm Simran's graduation event</t>
  </si>
  <si>
    <t xml:space="preserve">May 15 — West Haven, CT. Time, venue, guest access. Book 1-night hotel nearby.</t>
  </si>
  <si>
    <t xml:space="preserve">Confirm Astha's Tufts graduation</t>
  </si>
  <si>
    <t xml:space="preserve">May 17 — time, venue.</t>
  </si>
  <si>
    <t xml:space="preserve">Family</t>
  </si>
  <si>
    <t xml:space="preserve">Dates for visit — likely May 9–10.</t>
  </si>
  <si>
    <t xml:space="preserve">Coordinate with Sunita aunty (Fall River)</t>
  </si>
  <si>
    <t xml:space="preserve">Stay dates — likely May 11 and/or May 17 night.</t>
  </si>
  <si>
    <t xml:space="preserve">Social</t>
  </si>
  <si>
    <t xml:space="preserve">Dinner, soccer game — likely May 5, 6, or 7 evening.</t>
  </si>
  <si>
    <t xml:space="preserve">Check passport status (all travelers)</t>
  </si>
  <si>
    <t xml:space="preserve">Travel Docs</t>
  </si>
  <si>
    <t xml:space="preserve">Needed if visiting Canadian side of Niagara Falls.</t>
  </si>
  <si>
    <t xml:space="preserve">Book Niagara Falls activities</t>
  </si>
  <si>
    <t xml:space="preserve">Maid of the Mist tickets, Cave of the Winds — book ahead in May.</t>
  </si>
  <si>
    <t xml:space="preserve">Restaurant reservation (May 8)</t>
  </si>
  <si>
    <t xml:space="preserve">Dining</t>
  </si>
  <si>
    <t xml:space="preserve">Celebration dinner after convocation. 4+ people.</t>
  </si>
  <si>
    <t xml:space="preserve">Pack appropriate temple attire</t>
  </si>
  <si>
    <t xml:space="preserve">Packing</t>
  </si>
  <si>
    <t xml:space="preserve">Cover shoulders and knees for BAPS temple. All visitors.</t>
  </si>
  <si>
    <t xml:space="preserve">Book West Haven/New Haven hotel (1 night)</t>
  </si>
  <si>
    <t xml:space="preserve">May 15 night for Simran's graduation in West Haven, CT.</t>
  </si>
  <si>
    <t xml:space="preserve">Confirm Sunita aunty stay (May 14–16)</t>
  </si>
  <si>
    <t xml:space="preserve">Ram &amp; Pratibha stay at Sunita aunty's while Ayush drives to CT. 2 nights.</t>
  </si>
  <si>
    <t xml:space="preserve">Book Amtrak tickets Boston ↔ DC (round-trip)</t>
  </si>
  <si>
    <t xml:space="preserve">Transportation</t>
  </si>
  <si>
    <t xml:space="preserve">May 12 BOS→DC + May 13 DC→BOS. NE Regional (~$50–110/pp, ~7.5 hrs) or Acela (~$100–200/pp, ~6.5 hrs). Book early. South Station ↔ Union Station.</t>
  </si>
  <si>
    <t xml:space="preserve">Parents Nepal → SFO (Singapore Airlines)</t>
  </si>
  <si>
    <t xml:space="preserve">KTM→SIN SQ441 Apr 22 23:00 | SIN→SFO SQ032 Apr 23 09:15. Booking Ref: DPSOSL. Pratibha Ticket: 618-2470345931, Ram Ticket: 618-2470345932</t>
  </si>
  <si>
    <t xml:space="preserve">✓ BOOKED (DPSOSL)</t>
  </si>
  <si>
    <t xml:space="preserve">Parents SFO → Austin, TX (Southwest)</t>
  </si>
  <si>
    <t xml:space="preserve">WN #0358, Apr 24, SFO 11:25 AM → AUS 4:55 PM. Conf: B9X9O6. Pratibha Ticket: 5262130927350, Ram Ticket: 5262130927351. Paid: $196.80</t>
  </si>
  <si>
    <t xml:space="preserve">✓ BOOKED (B9X9O6)</t>
  </si>
  <si>
    <t xml:space="preserve">Parents Austin → SFO (Delta)</t>
  </si>
  <si>
    <t xml:space="preserve">DL1077, Apr 28, AUS 3:02 PM → SFO 4:51 PM. Conf: HBMBJX. Ram eTicket: 0067365705380, Pratibha eTicket: 0067365705381</t>
  </si>
  <si>
    <t xml:space="preserve">✓ BOOKED (HBMBJX)</t>
  </si>
  <si>
    <t xml:space="preserve">Parents SFO → Nepal return (Singapore Airlines)</t>
  </si>
  <si>
    <t xml:space="preserve">SFO→SIN SQ031 Jun 17 11:30 | SIN→KTM SQ442 Jun 19 18:55. Booking Ref: DPSOSL. Pratibha Ticket: 618-2470345931, Ram Ticket: 618-2470345932</t>
  </si>
  <si>
    <t xml:space="preserve">Book Austin accommodation (4 nights, Apr 24–28)</t>
  </si>
  <si>
    <t xml:space="preserve">Ram &amp; Pratibha in Austin for Dip uncle's daughter's wedding. Apr 24–28.</t>
  </si>
  <si>
    <t xml:space="preserve">Needs booking</t>
  </si>
  <si>
    <t xml:space="preserve">ESTIMATED BUDGET BREAKDOWN</t>
  </si>
  <si>
    <t xml:space="preserve">Low Estimate</t>
  </si>
  <si>
    <t xml:space="preserve">High Estimate</t>
  </si>
  <si>
    <t xml:space="preserve">Flights (3 round trips SFO↔BOS)</t>
  </si>
  <si>
    <t xml:space="preserve">Ayush + Ram + Pratibha. 3 × $300–600 RT per person.</t>
  </si>
  <si>
    <t xml:space="preserve">Astha round-trip BOS↔SFO↔BOS</t>
  </si>
  <si>
    <t xml:space="preserve">Round-trip: BOS→SFO ~May 3–4 (join family) + SFO→BOS ~June 20 (return to Tufts). ~$300–600 RT.</t>
  </si>
  <si>
    <t xml:space="preserve">Rental car (13 days, midsize SUV)</t>
  </si>
  <si>
    <t xml:space="preserve">Book early. Include insurance. Unlimited miles.</t>
  </si>
  <si>
    <t xml:space="preserve">Gas (~3,000 miles total driving)</t>
  </si>
  <si>
    <t xml:space="preserve">Full trip: Boston→Rochester→day trips→NJ→NYC→Boston→DC RT→CT RT + local. ~28 MPG SUV, ~$3.50–$4.00/gal.</t>
  </si>
  <si>
    <t xml:space="preserve">Tolls (NYS Thruway, NJ Turnpike, etc)</t>
  </si>
  <si>
    <t xml:space="preserve">E-ZPass recommended.</t>
  </si>
  <si>
    <t xml:space="preserve">Rochester lodging (4 nights)</t>
  </si>
  <si>
    <t xml:space="preserve">May 5–8: $600 CONFIRMED (Conf: HMT995PXZS). May 8–9 (1 night) still to book (~$150-250).</t>
  </si>
  <si>
    <t xml:space="preserve">West Haven CT hotel (1 night — Simran's grad)</t>
  </si>
  <si>
    <t xml:space="preserve">May 15 night near West Haven/New Haven for Simran's graduation.</t>
  </si>
  <si>
    <t xml:space="preserve">DC hotel (1 night)</t>
  </si>
  <si>
    <t xml:space="preserve">Budget hotel near Metro.</t>
  </si>
  <si>
    <t xml:space="preserve">Food &amp; dining (14 days, 4 people)</t>
  </si>
  <si>
    <t xml:space="preserve">~$50-100/day for group. Mix of cooking &amp; eating out.</t>
  </si>
  <si>
    <t xml:space="preserve">Amtrak Boston ↔ DC (RT, 4 people)</t>
  </si>
  <si>
    <t xml:space="preserve">NE Regional ~$50–110/pp or Acela ~$100–200/pp. Round-trip × 4 people. If driving instead, this is $0 (gas already budgeted).</t>
  </si>
  <si>
    <t xml:space="preserve">Activities (Niagara, museums, etc)</t>
  </si>
  <si>
    <t xml:space="preserve">Many DC museums free. Niagara activities ~$25-40/pp.</t>
  </si>
  <si>
    <t xml:space="preserve">Miscellaneous</t>
  </si>
  <si>
    <t xml:space="preserve">Parking, tips, souvenirs.</t>
  </si>
  <si>
    <t xml:space="preserve">Parents Nepal ↔ USA flights (Singapore Airlines, RT × 2 pax)</t>
  </si>
  <si>
    <t xml:space="preserve">Ram &amp; Pratibha. KTM→SFO Apr 22–23 (SQ441/SQ032, Ref: DPSOSL) + SFO→KTM Jun 17–19 (SQ031/SQ442). Already purchased.</t>
  </si>
  <si>
    <t xml:space="preserve">Parents SFO ↔ Austin, TX — Southwest + Delta (2 pax)</t>
  </si>
  <si>
    <t xml:space="preserve">Southwest WN#0358 SFO→AUS Apr 24 ($196.80 paid, Conf B9X9O6) + Delta DL1077 AUS→SFO Apr 28 (Conf HBMBJX). Delta price TBD.</t>
  </si>
  <si>
    <t xml:space="preserve">Austin accommodation (4 nights, 2 pax)</t>
  </si>
  <si>
    <t xml:space="preserve">Ram &amp; Pratibha staying in Austin Apr 24–28 for Dip uncle's daughter's wedding.</t>
  </si>
  <si>
    <t xml:space="preserve">ESTIMATED TOTAL</t>
  </si>
  <si>
    <t xml:space="preserve">ASTHA'S TRAVEL DETAILS</t>
  </si>
  <si>
    <t xml:space="preserve">Outbound flight</t>
  </si>
  <si>
    <t xml:space="preserve">May 4: BOS → SFO (flies to SFO to join family, then all 4 fly SFO → BOS together)</t>
  </si>
  <si>
    <t xml:space="preserve">Travels with family</t>
  </si>
  <si>
    <t xml:space="preserve">May 5–11: Rochester + road trip with family</t>
  </si>
  <si>
    <t xml:space="preserve">Returns to Tufts</t>
  </si>
  <si>
    <t xml:space="preserve">May 11: Dropped at Tufts for her graduation week</t>
  </si>
  <si>
    <t xml:space="preserve">Her graduation week</t>
  </si>
  <si>
    <t xml:space="preserve">May 11–17: Busy with Tufts graduation events</t>
  </si>
  <si>
    <t xml:space="preserve">Her graduation event</t>
  </si>
  <si>
    <t xml:space="preserve">May 17 (Saturday) — ends ~5:00 PM</t>
  </si>
  <si>
    <t xml:space="preserve">Flies home with family</t>
  </si>
  <si>
    <t xml:space="preserve">May 18: All 4 fly BOS → SFO together</t>
  </si>
  <si>
    <t xml:space="preserve">Return flight needed</t>
  </si>
  <si>
    <t xml:space="preserve">SFO → BOS around June 20 (back to Tufts/Boston)</t>
  </si>
  <si>
    <t xml:space="preserve">ACTION</t>
  </si>
  <si>
    <t xml:space="preserve">Book Astha round-trip BOS↔SFO. Outbound ~May 3–4, return ~June 20.</t>
  </si>
  <si>
    <t xml:space="preserve">Note</t>
  </si>
  <si>
    <t xml:space="preserve">3 travelers (Ayush + Ram + Pratibha) book RT SFO↔BOS. Astha books RT BOS↔SFO (opposite direction).</t>
  </si>
  <si>
    <t xml:space="preserve">PARENTS' INTERNATIONAL FLIGHT DETAILS — Ram Adhar Sah &amp; Pratibha Shah</t>
  </si>
  <si>
    <t xml:space="preserve">Airline: Singapore Airlines  |  Booking Ref: DPSOSL  |  Issued: 06 Nov 2025  |  Agent: Rupse Holidays Pvt Ltd, Kathmandu</t>
  </si>
  <si>
    <t xml:space="preserve">Leg</t>
  </si>
  <si>
    <t xml:space="preserve">Flight</t>
  </si>
  <si>
    <t xml:space="preserve">Departure</t>
  </si>
  <si>
    <t xml:space="preserve">Arrival</t>
  </si>
  <si>
    <t xml:space="preserve">Class</t>
  </si>
  <si>
    <t xml:space="preserve">Baggage</t>
  </si>
  <si>
    <t xml:space="preserve">Nepal → SFO (Leg 1)</t>
  </si>
  <si>
    <t xml:space="preserve">SQ 441</t>
  </si>
  <si>
    <t xml:space="preserve">Kathmandu KTM (T-I)</t>
  </si>
  <si>
    <t xml:space="preserve">Wed, 22 Apr 2026  23:00</t>
  </si>
  <si>
    <t xml:space="preserve">Singapore SIN (Changi)</t>
  </si>
  <si>
    <t xml:space="preserve">Thu, 23 Apr 2026  06:20</t>
  </si>
  <si>
    <t xml:space="preserve">Economy (N)</t>
  </si>
  <si>
    <t xml:space="preserve">2 pieces</t>
  </si>
  <si>
    <t xml:space="preserve">Confirmed</t>
  </si>
  <si>
    <t xml:space="preserve">Pratibha: 618-2470345931 | Ram: 618-2470345932</t>
  </si>
  <si>
    <t xml:space="preserve">Nepal → SFO (Leg 2)</t>
  </si>
  <si>
    <t xml:space="preserve">SQ 032</t>
  </si>
  <si>
    <t xml:space="preserve">Singapore SIN (T-3)</t>
  </si>
  <si>
    <t xml:space="preserve">Thu, 23 Apr 2026  09:15</t>
  </si>
  <si>
    <t xml:space="preserve">San Francisco SFO (T-I)</t>
  </si>
  <si>
    <t xml:space="preserve">Thu, 23 Apr 2026  09:40*</t>
  </si>
  <si>
    <t xml:space="preserve">*Crosses Int'l Date Line — same local date despite 16h flight</t>
  </si>
  <si>
    <t xml:space="preserve">SFO → Austin</t>
  </si>
  <si>
    <t xml:space="preserve">WN #0358</t>
  </si>
  <si>
    <t xml:space="preserve">San Francisco SFO</t>
  </si>
  <si>
    <t xml:space="preserve">Fri, 24 Apr 2026  11:25 AM</t>
  </si>
  <si>
    <t xml:space="preserve">Austin AUS</t>
  </si>
  <si>
    <t xml:space="preserve">Fri, 24 Apr 2026  4:55 PM</t>
  </si>
  <si>
    <t xml:space="preserve">Basic</t>
  </si>
  <si>
    <t xml:space="preserve">1 carry-on + 1 personal</t>
  </si>
  <si>
    <t xml:space="preserve">Southwest | Conf: B9X9O6 | Pratibha: 5262130927350 | Ram: 5262130927351 | Paid $196.80</t>
  </si>
  <si>
    <t xml:space="preserve">Austin → SFO</t>
  </si>
  <si>
    <t xml:space="preserve">DL 1077</t>
  </si>
  <si>
    <t xml:space="preserve">Tue, 28 Apr 2026  3:02 PM</t>
  </si>
  <si>
    <t xml:space="preserve">San Francisco SFO (T-1)</t>
  </si>
  <si>
    <t xml:space="preserve">Tue, 28 Apr 2026  4:51 PM</t>
  </si>
  <si>
    <t xml:space="preserve">Main Basic (E)</t>
  </si>
  <si>
    <t xml:space="preserve">TBD at check-in</t>
  </si>
  <si>
    <t xml:space="preserve">Delta | Conf: HBMBJX | Ram eTicket: 0067365705380 | Pratibha eTicket: 0067365705381 | Airbus A319</t>
  </si>
  <si>
    <t xml:space="preserve">SFO → Nepal (Leg 1)</t>
  </si>
  <si>
    <t xml:space="preserve">SQ 031</t>
  </si>
  <si>
    <t xml:space="preserve">Wed, 17 Jun 2026  11:30</t>
  </si>
  <si>
    <t xml:space="preserve">Thu, 18 Jun 2026  19:10</t>
  </si>
  <si>
    <t xml:space="preserve">Economy (W)</t>
  </si>
  <si>
    <t xml:space="preserve">Pratibha: 618-2470345931 | Ram: 618-2470345932 | Long layover in SIN — consider transit hotel</t>
  </si>
  <si>
    <t xml:space="preserve">SFO → Nepal (Leg 2)</t>
  </si>
  <si>
    <t xml:space="preserve">SQ 442</t>
  </si>
  <si>
    <t xml:space="preserve">Singapore SIN (T-2)</t>
  </si>
  <si>
    <t xml:space="preserve">Fri, 19 Jun 2026  18:55</t>
  </si>
  <si>
    <t xml:space="preserve">Fri, 19 Jun 2026  21:45</t>
  </si>
  <si>
    <t xml:space="preserve">~23h 45m layover in SIN between legs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</si>
</sst>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2"/>
      <charset val="1"/>
    </font>
    <font>
      <i val="true"/>
      <sz val="10"/>
      <color rgb="FF555555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3"/>
      <color rgb="FF1F4E79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10"/>
      <color rgb="FF375623"/>
      <name val="Calibri"/>
      <family val="0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color rgb="FF1F4E79"/>
      <name val="Calibri"/>
      <family val="0"/>
      <charset val="1"/>
    </font>
    <font>
      <sz val="10"/>
      <color rgb="FF555555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55555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E2EFDA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thin">
        <color rgb="FFB4C6E7"/>
      </top>
      <bottom style="thin">
        <color rgb="FFB4C6E7"/>
      </bottom>
      <diagonal/>
    </border>
    <border diagonalUp="false" diagonalDown="false">
      <left/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/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 style="thin">
        <color rgb="FFB4C6E7"/>
      </right>
      <top/>
      <bottom style="thin">
        <color rgb="FFB4C6E7"/>
      </bottom>
      <diagonal/>
    </border>
    <border diagonalUp="false" diagonalDown="false">
      <left style="thin">
        <color rgb="FFB4C6E7"/>
      </left>
      <right/>
      <top style="thin">
        <color rgb="FFB4C6E7"/>
      </top>
      <bottom/>
      <diagonal/>
    </border>
    <border diagonalUp="false" diagonalDown="false">
      <left style="thin">
        <color rgb="FFB4C6E7"/>
      </left>
      <right style="thin">
        <color rgb="FFB4C6E7"/>
      </right>
      <top/>
      <bottom/>
      <diagonal/>
    </border>
    <border diagonalUp="false" diagonalDown="false">
      <left/>
      <right style="thin">
        <color rgb="FFB4C6E7"/>
      </right>
      <top/>
      <bottom/>
      <diagonal/>
    </border>
    <border diagonalUp="false" diagonalDown="false">
      <left/>
      <right/>
      <top style="thin">
        <color rgb="FFB4C6E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8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8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6B6B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83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J22" activeCellId="0" sqref="J22"/>
    </sheetView>
  </sheetViews>
  <sheetFormatPr defaultColWidth="8.66796875" defaultRowHeight="15" customHeight="tru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35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40"/>
    <col collapsed="false" customWidth="true" hidden="false" outlineLevel="0" max="7" min="7" style="1" width="30"/>
    <col collapsed="false" customWidth="false" hidden="false" outlineLevel="0" max="16384" min="8" style="1" width="8.67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27.75" hidden="false" customHeight="tru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customFormat="false" ht="15" hidden="false" customHeight="true" outlineLevel="0" collapsed="false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/>
    </row>
    <row r="8" customFormat="false" ht="30.55" hidden="false" customHeight="false" outlineLevel="0" collapsed="false">
      <c r="A8" s="6" t="s">
        <v>17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/>
    </row>
    <row r="9" customFormat="false" ht="27.75" hidden="false" customHeight="true" outlineLevel="0" collapsed="false">
      <c r="A9" s="8" t="s">
        <v>17</v>
      </c>
      <c r="B9" s="8" t="s">
        <v>28</v>
      </c>
      <c r="C9" s="8" t="s">
        <v>29</v>
      </c>
      <c r="D9" s="8" t="s">
        <v>30</v>
      </c>
      <c r="E9" s="8" t="s">
        <v>31</v>
      </c>
      <c r="F9" s="8" t="s">
        <v>32</v>
      </c>
      <c r="G9" s="8" t="s">
        <v>33</v>
      </c>
    </row>
    <row r="10" customFormat="false" ht="27.75" hidden="false" customHeight="true" outlineLevel="0" collapsed="false">
      <c r="A10" s="9" t="s">
        <v>34</v>
      </c>
      <c r="B10" s="9"/>
      <c r="C10" s="9"/>
      <c r="D10" s="9"/>
      <c r="E10" s="9"/>
      <c r="F10" s="9"/>
      <c r="G10" s="9"/>
    </row>
    <row r="11" customFormat="false" ht="40.25" hidden="false" customHeight="false" outlineLevel="0" collapsed="false">
      <c r="A11" s="6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6" t="s">
        <v>41</v>
      </c>
    </row>
    <row r="12" customFormat="false" ht="27.75" hidden="false" customHeight="true" outlineLevel="0" collapsed="false">
      <c r="A12" s="8" t="s">
        <v>42</v>
      </c>
      <c r="B12" s="8"/>
      <c r="C12" s="8" t="s">
        <v>43</v>
      </c>
      <c r="D12" s="8" t="s">
        <v>44</v>
      </c>
      <c r="E12" s="8" t="s">
        <v>45</v>
      </c>
      <c r="F12" s="8" t="s">
        <v>46</v>
      </c>
      <c r="G12" s="8" t="s">
        <v>47</v>
      </c>
    </row>
    <row r="13" customFormat="false" ht="42" hidden="false" customHeight="true" outlineLevel="0" collapsed="false">
      <c r="A13" s="6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6" t="s">
        <v>41</v>
      </c>
    </row>
    <row r="14" customFormat="false" ht="27.75" hidden="false" customHeight="true" outlineLevel="0" collapsed="false">
      <c r="A14" s="8" t="s">
        <v>54</v>
      </c>
      <c r="B14" s="8" t="s">
        <v>55</v>
      </c>
      <c r="C14" s="8" t="s">
        <v>56</v>
      </c>
      <c r="D14" s="8" t="s">
        <v>57</v>
      </c>
      <c r="E14" s="8" t="s">
        <v>58</v>
      </c>
      <c r="F14" s="8" t="s">
        <v>59</v>
      </c>
      <c r="G14" s="8" t="s">
        <v>60</v>
      </c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</row>
    <row r="16" customFormat="false" ht="27.75" hidden="false" customHeight="true" outlineLevel="0" collapsed="false"/>
    <row r="17" customFormat="false" ht="27.75" hidden="false" customHeight="true" outlineLevel="0" collapsed="false"/>
    <row r="18" customFormat="false" ht="27.75" hidden="false" customHeight="true" outlineLevel="0" collapsed="false"/>
    <row r="19" customFormat="false" ht="42" hidden="false" customHeight="true" outlineLevel="0" collapsed="false">
      <c r="A19" s="11" t="s">
        <v>61</v>
      </c>
      <c r="B19" s="12"/>
      <c r="C19" s="12"/>
      <c r="D19" s="12"/>
      <c r="E19" s="12"/>
      <c r="F19" s="12"/>
      <c r="G19" s="13"/>
    </row>
    <row r="20" customFormat="false" ht="15" hidden="false" customHeight="true" outlineLevel="0" collapsed="false">
      <c r="A20" s="14" t="s">
        <v>62</v>
      </c>
      <c r="B20" s="14" t="s">
        <v>63</v>
      </c>
      <c r="C20" s="14" t="s">
        <v>64</v>
      </c>
      <c r="D20" s="14" t="s">
        <v>38</v>
      </c>
      <c r="E20" s="14" t="s">
        <v>65</v>
      </c>
      <c r="F20" s="14" t="s">
        <v>66</v>
      </c>
      <c r="G20" s="14" t="s">
        <v>67</v>
      </c>
    </row>
    <row r="21" customFormat="false" ht="42" hidden="false" customHeight="true" outlineLevel="0" collapsed="false">
      <c r="A21" s="11" t="s">
        <v>68</v>
      </c>
      <c r="B21" s="12"/>
      <c r="C21" s="12"/>
      <c r="D21" s="12"/>
      <c r="E21" s="12"/>
      <c r="F21" s="12"/>
      <c r="G21" s="13"/>
    </row>
    <row r="22" customFormat="false" ht="27.75" hidden="false" customHeight="true" outlineLevel="0" collapsed="false">
      <c r="A22" s="15" t="s">
        <v>69</v>
      </c>
      <c r="B22" s="15" t="s">
        <v>70</v>
      </c>
      <c r="C22" s="15" t="s">
        <v>71</v>
      </c>
      <c r="D22" s="15" t="s">
        <v>72</v>
      </c>
      <c r="E22" s="15"/>
      <c r="F22" s="15" t="s">
        <v>73</v>
      </c>
      <c r="G22" s="15"/>
    </row>
    <row r="23" customFormat="false" ht="42" hidden="false" customHeight="true" outlineLevel="0" collapsed="false">
      <c r="A23" s="14" t="s">
        <v>69</v>
      </c>
      <c r="B23" s="14" t="s">
        <v>74</v>
      </c>
      <c r="C23" s="14" t="s">
        <v>75</v>
      </c>
      <c r="D23" s="14" t="s">
        <v>76</v>
      </c>
      <c r="E23" s="14"/>
      <c r="F23" s="14" t="s">
        <v>77</v>
      </c>
      <c r="G23" s="14" t="s">
        <v>78</v>
      </c>
    </row>
    <row r="24" customFormat="false" ht="15" hidden="false" customHeight="true" outlineLevel="0" collapsed="false">
      <c r="A24" s="14" t="s">
        <v>69</v>
      </c>
      <c r="B24" s="14" t="s">
        <v>79</v>
      </c>
      <c r="C24" s="14" t="s">
        <v>80</v>
      </c>
      <c r="D24" s="14" t="s">
        <v>81</v>
      </c>
      <c r="E24" s="14" t="s">
        <v>82</v>
      </c>
      <c r="F24" s="14" t="s">
        <v>83</v>
      </c>
      <c r="G24" s="14" t="s">
        <v>84</v>
      </c>
    </row>
    <row r="25" customFormat="false" ht="27.75" hidden="false" customHeight="true" outlineLevel="0" collapsed="false">
      <c r="A25" s="15" t="s">
        <v>69</v>
      </c>
      <c r="B25" s="15" t="s">
        <v>85</v>
      </c>
      <c r="C25" s="15" t="s">
        <v>86</v>
      </c>
      <c r="D25" s="15" t="s">
        <v>87</v>
      </c>
      <c r="E25" s="15"/>
      <c r="F25" s="15" t="s">
        <v>88</v>
      </c>
      <c r="G25" s="15"/>
    </row>
    <row r="26" customFormat="false" ht="27.75" hidden="false" customHeight="true" outlineLevel="0" collapsed="false">
      <c r="A26" s="15" t="s">
        <v>69</v>
      </c>
      <c r="B26" s="15" t="s">
        <v>89</v>
      </c>
      <c r="C26" s="15" t="s">
        <v>90</v>
      </c>
      <c r="D26" s="15" t="s">
        <v>91</v>
      </c>
      <c r="E26" s="15" t="s">
        <v>92</v>
      </c>
      <c r="F26" s="15" t="s">
        <v>93</v>
      </c>
      <c r="G26" s="15"/>
    </row>
    <row r="27" customFormat="false" ht="42" hidden="false" customHeight="true" outlineLevel="0" collapsed="false">
      <c r="A27" s="14" t="s">
        <v>69</v>
      </c>
      <c r="B27" s="14" t="s">
        <v>94</v>
      </c>
      <c r="C27" s="14" t="s">
        <v>95</v>
      </c>
      <c r="D27" s="14" t="s">
        <v>96</v>
      </c>
      <c r="E27" s="14"/>
      <c r="F27" s="14" t="s">
        <v>97</v>
      </c>
      <c r="G27" s="14" t="s">
        <v>98</v>
      </c>
    </row>
    <row r="28" customFormat="false" ht="27.75" hidden="false" customHeight="true" outlineLevel="0" collapsed="false">
      <c r="A28" s="14" t="s">
        <v>69</v>
      </c>
      <c r="B28" s="14" t="s">
        <v>99</v>
      </c>
      <c r="C28" s="14" t="s">
        <v>100</v>
      </c>
      <c r="D28" s="14" t="s">
        <v>96</v>
      </c>
      <c r="E28" s="14"/>
      <c r="F28" s="14" t="s">
        <v>101</v>
      </c>
      <c r="G28" s="14" t="s">
        <v>102</v>
      </c>
    </row>
    <row r="29" customFormat="false" ht="15" hidden="false" customHeight="true" outlineLevel="0" collapsed="false">
      <c r="A29" s="11" t="s">
        <v>103</v>
      </c>
      <c r="B29" s="11"/>
      <c r="C29" s="11"/>
      <c r="D29" s="11"/>
      <c r="E29" s="11"/>
      <c r="F29" s="11"/>
      <c r="G29" s="11"/>
    </row>
    <row r="30" customFormat="false" ht="15" hidden="false" customHeight="true" outlineLevel="0" collapsed="false">
      <c r="A30" s="16" t="s">
        <v>104</v>
      </c>
      <c r="B30" s="14" t="s">
        <v>105</v>
      </c>
      <c r="C30" s="14" t="s">
        <v>106</v>
      </c>
      <c r="D30" s="14" t="s">
        <v>107</v>
      </c>
      <c r="E30" s="14"/>
      <c r="F30" s="14" t="s">
        <v>108</v>
      </c>
      <c r="G30" s="14" t="s">
        <v>109</v>
      </c>
    </row>
    <row r="31" customFormat="false" ht="15" hidden="false" customHeight="true" outlineLevel="0" collapsed="false">
      <c r="A31" s="17" t="s">
        <v>104</v>
      </c>
      <c r="B31" s="18" t="s">
        <v>110</v>
      </c>
      <c r="C31" s="18" t="s">
        <v>111</v>
      </c>
      <c r="D31" s="18" t="s">
        <v>112</v>
      </c>
      <c r="E31" s="18" t="s">
        <v>113</v>
      </c>
      <c r="F31" s="18" t="s">
        <v>114</v>
      </c>
      <c r="G31" s="18"/>
    </row>
    <row r="32" customFormat="false" ht="27.75" hidden="false" customHeight="true" outlineLevel="0" collapsed="false">
      <c r="A32" s="19" t="s">
        <v>104</v>
      </c>
      <c r="B32" s="20" t="s">
        <v>115</v>
      </c>
      <c r="C32" s="20" t="s">
        <v>116</v>
      </c>
      <c r="D32" s="20" t="s">
        <v>117</v>
      </c>
      <c r="E32" s="20" t="s">
        <v>118</v>
      </c>
      <c r="F32" s="20" t="s">
        <v>119</v>
      </c>
      <c r="G32" s="20" t="s">
        <v>120</v>
      </c>
    </row>
    <row r="33" customFormat="false" ht="55.5" hidden="false" customHeight="true" outlineLevel="0" collapsed="false">
      <c r="A33" s="21" t="s">
        <v>104</v>
      </c>
      <c r="B33" s="22"/>
      <c r="C33" s="22" t="s">
        <v>121</v>
      </c>
      <c r="D33" s="22" t="s">
        <v>122</v>
      </c>
      <c r="E33" s="22" t="s">
        <v>123</v>
      </c>
      <c r="F33" s="22" t="s">
        <v>124</v>
      </c>
      <c r="G33" s="23"/>
    </row>
    <row r="34" customFormat="false" ht="27.75" hidden="false" customHeight="true" outlineLevel="0" collapsed="false">
      <c r="A34" s="24" t="s">
        <v>125</v>
      </c>
      <c r="B34" s="25"/>
      <c r="C34" s="25"/>
      <c r="D34" s="25"/>
      <c r="E34" s="25"/>
      <c r="F34" s="25"/>
      <c r="G34" s="26"/>
    </row>
    <row r="35" customFormat="false" ht="15" hidden="false" customHeight="true" outlineLevel="0" collapsed="false">
      <c r="A35" s="27" t="s">
        <v>126</v>
      </c>
      <c r="B35" s="27" t="s">
        <v>127</v>
      </c>
      <c r="C35" s="27" t="s">
        <v>128</v>
      </c>
      <c r="D35" s="27" t="s">
        <v>107</v>
      </c>
      <c r="E35" s="27"/>
      <c r="F35" s="27" t="s">
        <v>129</v>
      </c>
      <c r="G35" s="27" t="s">
        <v>130</v>
      </c>
    </row>
    <row r="36" customFormat="false" ht="42" hidden="false" customHeight="true" outlineLevel="0" collapsed="false">
      <c r="A36" s="16" t="s">
        <v>126</v>
      </c>
      <c r="B36" s="14" t="s">
        <v>131</v>
      </c>
      <c r="C36" s="14" t="s">
        <v>132</v>
      </c>
      <c r="D36" s="14" t="s">
        <v>133</v>
      </c>
      <c r="E36" s="14" t="s">
        <v>134</v>
      </c>
      <c r="F36" s="14" t="s">
        <v>135</v>
      </c>
      <c r="G36" s="14" t="s">
        <v>130</v>
      </c>
    </row>
    <row r="37" customFormat="false" ht="27.75" hidden="false" customHeight="true" outlineLevel="0" collapsed="false">
      <c r="A37" s="16" t="s">
        <v>126</v>
      </c>
      <c r="B37" s="14" t="s">
        <v>136</v>
      </c>
      <c r="C37" s="14" t="s">
        <v>137</v>
      </c>
      <c r="D37" s="14" t="s">
        <v>107</v>
      </c>
      <c r="E37" s="14"/>
      <c r="F37" s="14" t="s">
        <v>138</v>
      </c>
      <c r="G37" s="14" t="s">
        <v>139</v>
      </c>
    </row>
    <row r="38" customFormat="false" ht="15" hidden="false" customHeight="true" outlineLevel="0" collapsed="false">
      <c r="A38" s="11" t="s">
        <v>140</v>
      </c>
      <c r="B38" s="11"/>
      <c r="C38" s="11"/>
      <c r="D38" s="11"/>
      <c r="E38" s="11"/>
      <c r="F38" s="11"/>
      <c r="G38" s="11"/>
    </row>
    <row r="39" customFormat="false" ht="23.85" hidden="false" customHeight="false" outlineLevel="0" collapsed="false">
      <c r="A39" s="16" t="s">
        <v>141</v>
      </c>
      <c r="B39" s="14" t="s">
        <v>105</v>
      </c>
      <c r="C39" s="14" t="s">
        <v>142</v>
      </c>
      <c r="D39" s="14" t="s">
        <v>107</v>
      </c>
      <c r="E39" s="14"/>
      <c r="F39" s="14" t="s">
        <v>143</v>
      </c>
      <c r="G39" s="14" t="s">
        <v>144</v>
      </c>
    </row>
    <row r="40" customFormat="false" ht="27.75" hidden="false" customHeight="true" outlineLevel="0" collapsed="false">
      <c r="A40" s="28" t="s">
        <v>141</v>
      </c>
      <c r="B40" s="29" t="s">
        <v>145</v>
      </c>
      <c r="C40" s="29" t="s">
        <v>146</v>
      </c>
      <c r="D40" s="29" t="s">
        <v>112</v>
      </c>
      <c r="E40" s="29" t="s">
        <v>113</v>
      </c>
      <c r="F40" s="29" t="s">
        <v>147</v>
      </c>
      <c r="G40" s="29" t="s">
        <v>148</v>
      </c>
    </row>
    <row r="41" customFormat="false" ht="27.75" hidden="false" customHeight="true" outlineLevel="0" collapsed="false">
      <c r="A41" s="30" t="s">
        <v>141</v>
      </c>
      <c r="B41" s="31" t="s">
        <v>110</v>
      </c>
      <c r="C41" s="31" t="s">
        <v>149</v>
      </c>
      <c r="D41" s="31" t="s">
        <v>150</v>
      </c>
      <c r="E41" s="31" t="s">
        <v>113</v>
      </c>
      <c r="F41" s="31" t="s">
        <v>151</v>
      </c>
      <c r="G41" s="29"/>
    </row>
    <row r="42" customFormat="false" ht="15" hidden="false" customHeight="true" outlineLevel="0" collapsed="false">
      <c r="A42" s="32" t="s">
        <v>141</v>
      </c>
      <c r="B42" s="32" t="s">
        <v>152</v>
      </c>
      <c r="C42" s="32" t="s">
        <v>153</v>
      </c>
      <c r="D42" s="32" t="s">
        <v>154</v>
      </c>
      <c r="E42" s="32"/>
      <c r="F42" s="32" t="s">
        <v>155</v>
      </c>
      <c r="G42" s="32" t="s">
        <v>148</v>
      </c>
    </row>
    <row r="43" customFormat="false" ht="63" hidden="false" customHeight="true" outlineLevel="0" collapsed="false">
      <c r="A43" s="33" t="s">
        <v>156</v>
      </c>
      <c r="G43" s="34"/>
    </row>
    <row r="44" customFormat="false" ht="27.75" hidden="false" customHeight="true" outlineLevel="0" collapsed="false">
      <c r="A44" s="35" t="s">
        <v>157</v>
      </c>
      <c r="B44" s="36" t="s">
        <v>158</v>
      </c>
      <c r="C44" s="36" t="s">
        <v>159</v>
      </c>
      <c r="D44" s="36" t="s">
        <v>160</v>
      </c>
      <c r="E44" s="36" t="s">
        <v>161</v>
      </c>
      <c r="F44" s="36" t="s">
        <v>162</v>
      </c>
      <c r="G44" s="37"/>
    </row>
    <row r="45" customFormat="false" ht="27.75" hidden="false" customHeight="true" outlineLevel="0" collapsed="false">
      <c r="A45" s="38" t="s">
        <v>157</v>
      </c>
      <c r="B45" s="39" t="s">
        <v>163</v>
      </c>
      <c r="C45" s="39" t="s">
        <v>164</v>
      </c>
      <c r="D45" s="39" t="s">
        <v>96</v>
      </c>
      <c r="E45" s="39" t="s">
        <v>165</v>
      </c>
      <c r="F45" s="39" t="s">
        <v>166</v>
      </c>
      <c r="G45" s="40"/>
    </row>
    <row r="46" customFormat="false" ht="48.75" hidden="false" customHeight="true" outlineLevel="0" collapsed="false">
      <c r="A46" s="30" t="s">
        <v>157</v>
      </c>
      <c r="B46" s="31" t="s">
        <v>167</v>
      </c>
      <c r="C46" s="31" t="s">
        <v>168</v>
      </c>
      <c r="D46" s="31" t="s">
        <v>169</v>
      </c>
      <c r="E46" s="31" t="s">
        <v>170</v>
      </c>
      <c r="F46" s="31" t="s">
        <v>171</v>
      </c>
      <c r="G46" s="29"/>
    </row>
    <row r="47" customFormat="false" ht="15" hidden="false" customHeight="true" outlineLevel="0" collapsed="false">
      <c r="A47" s="32" t="s">
        <v>157</v>
      </c>
      <c r="B47" s="32" t="s">
        <v>172</v>
      </c>
      <c r="C47" s="32" t="s">
        <v>173</v>
      </c>
      <c r="D47" s="32" t="s">
        <v>174</v>
      </c>
      <c r="E47" s="32" t="s">
        <v>175</v>
      </c>
      <c r="F47" s="32" t="s">
        <v>176</v>
      </c>
      <c r="G47" s="32" t="s">
        <v>177</v>
      </c>
    </row>
    <row r="48" customFormat="false" ht="28.5" hidden="false" customHeight="true" outlineLevel="0" collapsed="false">
      <c r="A48" s="41" t="s">
        <v>157</v>
      </c>
      <c r="B48" s="42" t="s">
        <v>152</v>
      </c>
      <c r="C48" s="42" t="s">
        <v>178</v>
      </c>
      <c r="D48" s="42" t="s">
        <v>179</v>
      </c>
      <c r="E48" s="42" t="s">
        <v>180</v>
      </c>
      <c r="F48" s="42" t="s">
        <v>181</v>
      </c>
      <c r="G48" s="14" t="s">
        <v>182</v>
      </c>
    </row>
    <row r="49" customFormat="false" ht="15" hidden="false" customHeight="true" outlineLevel="0" collapsed="false">
      <c r="A49" s="11" t="s">
        <v>183</v>
      </c>
      <c r="B49" s="12"/>
      <c r="C49" s="12"/>
      <c r="D49" s="12"/>
      <c r="E49" s="12"/>
      <c r="F49" s="12"/>
      <c r="G49" s="13"/>
    </row>
    <row r="50" customFormat="false" ht="15" hidden="false" customHeight="true" outlineLevel="0" collapsed="false">
      <c r="A50" s="27" t="s">
        <v>184</v>
      </c>
      <c r="B50" s="27" t="s">
        <v>185</v>
      </c>
      <c r="C50" s="27" t="s">
        <v>186</v>
      </c>
      <c r="D50" s="27" t="s">
        <v>187</v>
      </c>
      <c r="E50" s="27" t="s">
        <v>188</v>
      </c>
      <c r="F50" s="27" t="s">
        <v>189</v>
      </c>
      <c r="G50" s="27" t="s">
        <v>190</v>
      </c>
    </row>
    <row r="51" customFormat="false" ht="15" hidden="false" customHeight="true" outlineLevel="0" collapsed="false">
      <c r="A51" s="27" t="s">
        <v>184</v>
      </c>
      <c r="B51" s="15" t="s">
        <v>152</v>
      </c>
      <c r="C51" s="15" t="s">
        <v>191</v>
      </c>
      <c r="D51" s="15" t="s">
        <v>192</v>
      </c>
      <c r="E51" s="15" t="s">
        <v>193</v>
      </c>
      <c r="F51" s="15" t="s">
        <v>194</v>
      </c>
      <c r="G51" s="15" t="s">
        <v>190</v>
      </c>
    </row>
    <row r="52" customFormat="false" ht="15" hidden="false" customHeight="true" outlineLevel="0" collapsed="false">
      <c r="A52" s="11" t="s">
        <v>195</v>
      </c>
      <c r="B52" s="12"/>
      <c r="C52" s="12"/>
      <c r="D52" s="12"/>
      <c r="E52" s="12"/>
      <c r="F52" s="12"/>
      <c r="G52" s="13"/>
    </row>
    <row r="53" customFormat="false" ht="15" hidden="false" customHeight="true" outlineLevel="0" collapsed="false">
      <c r="A53" s="15" t="s">
        <v>196</v>
      </c>
      <c r="B53" s="15" t="s">
        <v>105</v>
      </c>
      <c r="C53" s="15" t="s">
        <v>197</v>
      </c>
      <c r="D53" s="15" t="s">
        <v>192</v>
      </c>
      <c r="E53" s="15" t="s">
        <v>193</v>
      </c>
      <c r="F53" s="15" t="s">
        <v>198</v>
      </c>
      <c r="G53" s="15"/>
    </row>
    <row r="54" customFormat="false" ht="15" hidden="false" customHeight="true" outlineLevel="0" collapsed="false">
      <c r="A54" s="14" t="s">
        <v>196</v>
      </c>
      <c r="B54" s="14" t="s">
        <v>199</v>
      </c>
      <c r="C54" s="14" t="s">
        <v>200</v>
      </c>
      <c r="D54" s="14" t="s">
        <v>201</v>
      </c>
      <c r="E54" s="14" t="s">
        <v>202</v>
      </c>
      <c r="F54" s="14" t="s">
        <v>203</v>
      </c>
      <c r="G54" s="14" t="s">
        <v>204</v>
      </c>
    </row>
    <row r="55" customFormat="false" ht="28.5" hidden="false" customHeight="true" outlineLevel="0" collapsed="false">
      <c r="A55" s="15" t="s">
        <v>196</v>
      </c>
      <c r="B55" s="15"/>
      <c r="C55" s="15" t="s">
        <v>205</v>
      </c>
      <c r="D55" s="15" t="s">
        <v>81</v>
      </c>
      <c r="E55" s="15"/>
      <c r="F55" s="15" t="s">
        <v>206</v>
      </c>
      <c r="G55" s="15"/>
    </row>
    <row r="56" customFormat="false" ht="28.5" hidden="false" customHeight="true" outlineLevel="0" collapsed="false">
      <c r="A56" s="11" t="s">
        <v>207</v>
      </c>
      <c r="B56" s="12"/>
      <c r="C56" s="12"/>
      <c r="D56" s="12"/>
      <c r="E56" s="12"/>
      <c r="F56" s="12"/>
      <c r="G56" s="13"/>
    </row>
    <row r="57" customFormat="false" ht="15" hidden="false" customHeight="true" outlineLevel="0" collapsed="false">
      <c r="A57" s="14" t="s">
        <v>208</v>
      </c>
      <c r="B57" s="14" t="s">
        <v>105</v>
      </c>
      <c r="C57" s="14" t="s">
        <v>209</v>
      </c>
      <c r="D57" s="14" t="s">
        <v>210</v>
      </c>
      <c r="E57" s="14" t="s">
        <v>211</v>
      </c>
      <c r="F57" s="14" t="s">
        <v>212</v>
      </c>
      <c r="G57" s="14" t="s">
        <v>213</v>
      </c>
    </row>
    <row r="58" customFormat="false" ht="42.75" hidden="false" customHeight="true" outlineLevel="0" collapsed="false">
      <c r="A58" s="14" t="s">
        <v>208</v>
      </c>
      <c r="B58" s="14" t="s">
        <v>214</v>
      </c>
      <c r="C58" s="14" t="s">
        <v>215</v>
      </c>
      <c r="D58" s="14" t="s">
        <v>216</v>
      </c>
      <c r="E58" s="14"/>
      <c r="F58" s="14" t="s">
        <v>217</v>
      </c>
      <c r="G58" s="14" t="s">
        <v>218</v>
      </c>
    </row>
    <row r="59" customFormat="false" ht="42.75" hidden="false" customHeight="true" outlineLevel="0" collapsed="false">
      <c r="A59" s="15" t="s">
        <v>219</v>
      </c>
      <c r="B59" s="15" t="s">
        <v>105</v>
      </c>
      <c r="C59" s="15" t="s">
        <v>220</v>
      </c>
      <c r="D59" s="15" t="s">
        <v>216</v>
      </c>
      <c r="E59" s="15"/>
      <c r="F59" s="15" t="s">
        <v>221</v>
      </c>
      <c r="G59" s="15"/>
    </row>
    <row r="60" customFormat="false" ht="15" hidden="false" customHeight="true" outlineLevel="0" collapsed="false">
      <c r="A60" s="15" t="s">
        <v>219</v>
      </c>
      <c r="B60" s="15" t="s">
        <v>199</v>
      </c>
      <c r="C60" s="15" t="s">
        <v>222</v>
      </c>
      <c r="D60" s="15" t="s">
        <v>223</v>
      </c>
      <c r="E60" s="15" t="s">
        <v>211</v>
      </c>
      <c r="F60" s="15" t="s">
        <v>224</v>
      </c>
      <c r="G60" s="15" t="s">
        <v>225</v>
      </c>
    </row>
    <row r="61" customFormat="false" ht="28.5" hidden="false" customHeight="true" outlineLevel="0" collapsed="false">
      <c r="A61" s="43" t="s">
        <v>226</v>
      </c>
      <c r="B61" s="44"/>
      <c r="C61" s="44"/>
      <c r="D61" s="44"/>
      <c r="E61" s="44"/>
      <c r="F61" s="44"/>
      <c r="G61" s="44"/>
    </row>
    <row r="62" customFormat="false" ht="35.05" hidden="false" customHeight="false" outlineLevel="0" collapsed="false">
      <c r="A62" s="45" t="s">
        <v>227</v>
      </c>
      <c r="B62" s="46" t="s">
        <v>228</v>
      </c>
      <c r="C62" s="46" t="s">
        <v>229</v>
      </c>
      <c r="D62" s="46" t="s">
        <v>72</v>
      </c>
      <c r="E62" s="46"/>
      <c r="F62" s="46" t="s">
        <v>230</v>
      </c>
      <c r="G62" s="46"/>
    </row>
    <row r="63" customFormat="false" ht="42.75" hidden="false" customHeight="true" outlineLevel="0" collapsed="false">
      <c r="A63" s="47" t="s">
        <v>227</v>
      </c>
      <c r="B63" s="48" t="s">
        <v>152</v>
      </c>
      <c r="C63" s="48" t="s">
        <v>231</v>
      </c>
      <c r="D63" s="48" t="s">
        <v>201</v>
      </c>
      <c r="E63" s="48" t="s">
        <v>232</v>
      </c>
      <c r="F63" s="48" t="s">
        <v>233</v>
      </c>
      <c r="G63" s="48" t="s">
        <v>234</v>
      </c>
    </row>
    <row r="64" customFormat="false" ht="64.9" hidden="false" customHeight="false" outlineLevel="0" collapsed="false">
      <c r="A64" s="49" t="s">
        <v>235</v>
      </c>
    </row>
    <row r="65" customFormat="false" ht="23.85" hidden="false" customHeight="false" outlineLevel="0" collapsed="false">
      <c r="A65" s="45" t="s">
        <v>236</v>
      </c>
      <c r="B65" s="46" t="s">
        <v>237</v>
      </c>
      <c r="C65" s="46" t="s">
        <v>238</v>
      </c>
      <c r="D65" s="46" t="s">
        <v>239</v>
      </c>
      <c r="E65" s="46" t="s">
        <v>134</v>
      </c>
      <c r="F65" s="46" t="s">
        <v>240</v>
      </c>
      <c r="G65" s="46" t="s">
        <v>241</v>
      </c>
    </row>
    <row r="66" customFormat="false" ht="23.85" hidden="false" customHeight="false" outlineLevel="0" collapsed="false">
      <c r="A66" s="47" t="s">
        <v>236</v>
      </c>
      <c r="B66" s="48" t="s">
        <v>242</v>
      </c>
      <c r="C66" s="48" t="s">
        <v>243</v>
      </c>
      <c r="D66" s="48" t="s">
        <v>244</v>
      </c>
      <c r="F66" s="48" t="s">
        <v>245</v>
      </c>
      <c r="G66" s="48"/>
    </row>
    <row r="67" customFormat="false" ht="23.85" hidden="false" customHeight="false" outlineLevel="0" collapsed="false">
      <c r="A67" s="45" t="s">
        <v>236</v>
      </c>
      <c r="B67" s="46" t="s">
        <v>152</v>
      </c>
      <c r="C67" s="46" t="s">
        <v>246</v>
      </c>
      <c r="D67" s="46" t="s">
        <v>244</v>
      </c>
      <c r="F67" s="46" t="s">
        <v>247</v>
      </c>
      <c r="G67" s="46" t="s">
        <v>248</v>
      </c>
    </row>
    <row r="68" customFormat="false" ht="64.9" hidden="false" customHeight="false" outlineLevel="0" collapsed="false">
      <c r="A68" s="49" t="s">
        <v>249</v>
      </c>
    </row>
    <row r="69" customFormat="false" ht="23.85" hidden="false" customHeight="false" outlineLevel="0" collapsed="false">
      <c r="A69" s="45" t="s">
        <v>250</v>
      </c>
      <c r="B69" s="46" t="s">
        <v>199</v>
      </c>
      <c r="C69" s="46" t="s">
        <v>251</v>
      </c>
      <c r="D69" s="46" t="s">
        <v>252</v>
      </c>
      <c r="E69" s="46" t="s">
        <v>134</v>
      </c>
      <c r="F69" s="46" t="s">
        <v>253</v>
      </c>
      <c r="G69" s="46"/>
    </row>
    <row r="70" customFormat="false" ht="23.85" hidden="false" customHeight="false" outlineLevel="0" collapsed="false">
      <c r="A70" s="47" t="s">
        <v>250</v>
      </c>
      <c r="B70" s="48" t="s">
        <v>152</v>
      </c>
      <c r="C70" s="48" t="s">
        <v>254</v>
      </c>
      <c r="D70" s="48" t="s">
        <v>255</v>
      </c>
      <c r="E70" s="48" t="s">
        <v>256</v>
      </c>
      <c r="F70" s="48" t="s">
        <v>257</v>
      </c>
      <c r="G70" s="48"/>
    </row>
    <row r="71" customFormat="false" ht="77.6" hidden="false" customHeight="false" outlineLevel="0" collapsed="false">
      <c r="A71" s="49" t="s">
        <v>258</v>
      </c>
    </row>
    <row r="72" customFormat="false" ht="35.05" hidden="false" customHeight="false" outlineLevel="0" collapsed="false">
      <c r="A72" s="45" t="s">
        <v>259</v>
      </c>
      <c r="B72" s="46" t="s">
        <v>260</v>
      </c>
      <c r="C72" s="46" t="s">
        <v>261</v>
      </c>
      <c r="D72" s="46" t="s">
        <v>262</v>
      </c>
      <c r="E72" s="1" t="s">
        <v>263</v>
      </c>
      <c r="F72" s="46" t="s">
        <v>264</v>
      </c>
      <c r="G72" s="46" t="s">
        <v>265</v>
      </c>
    </row>
    <row r="73" customFormat="false" ht="35.05" hidden="false" customHeight="false" outlineLevel="0" collapsed="false">
      <c r="A73" s="47" t="s">
        <v>259</v>
      </c>
      <c r="B73" s="48" t="s">
        <v>266</v>
      </c>
      <c r="C73" s="48" t="s">
        <v>267</v>
      </c>
      <c r="D73" s="48" t="s">
        <v>201</v>
      </c>
      <c r="E73" s="48" t="s">
        <v>232</v>
      </c>
      <c r="F73" s="48" t="s">
        <v>268</v>
      </c>
      <c r="G73" s="48"/>
    </row>
    <row r="74" customFormat="false" ht="52.2" hidden="false" customHeight="false" outlineLevel="0" collapsed="false">
      <c r="A74" s="49" t="s">
        <v>269</v>
      </c>
    </row>
    <row r="75" customFormat="false" ht="23.85" hidden="false" customHeight="false" outlineLevel="0" collapsed="false">
      <c r="A75" s="45" t="s">
        <v>270</v>
      </c>
      <c r="B75" s="46" t="s">
        <v>105</v>
      </c>
      <c r="C75" s="46" t="s">
        <v>271</v>
      </c>
      <c r="D75" s="46" t="s">
        <v>76</v>
      </c>
      <c r="F75" s="46" t="s">
        <v>272</v>
      </c>
      <c r="G75" s="46" t="s">
        <v>273</v>
      </c>
    </row>
    <row r="76" customFormat="false" ht="15" hidden="false" customHeight="false" outlineLevel="0" collapsed="false">
      <c r="A76" s="47" t="s">
        <v>270</v>
      </c>
      <c r="B76" s="47" t="s">
        <v>274</v>
      </c>
      <c r="C76" s="48" t="s">
        <v>275</v>
      </c>
      <c r="D76" s="48" t="s">
        <v>276</v>
      </c>
      <c r="E76" s="48" t="s">
        <v>277</v>
      </c>
      <c r="F76" s="48" t="s">
        <v>278</v>
      </c>
      <c r="G76" s="48"/>
    </row>
    <row r="77" customFormat="false" ht="35.05" hidden="false" customHeight="false" outlineLevel="0" collapsed="false">
      <c r="A77" s="45" t="s">
        <v>270</v>
      </c>
      <c r="B77" s="45" t="s">
        <v>279</v>
      </c>
      <c r="C77" s="46" t="s">
        <v>280</v>
      </c>
      <c r="D77" s="46" t="s">
        <v>281</v>
      </c>
      <c r="E77" s="46"/>
      <c r="F77" s="46" t="s">
        <v>282</v>
      </c>
      <c r="G77" s="46" t="s">
        <v>283</v>
      </c>
    </row>
    <row r="79" customFormat="false" ht="57.45" hidden="false" customHeight="false" outlineLevel="0" collapsed="false">
      <c r="A79" s="50" t="s">
        <v>284</v>
      </c>
      <c r="B79" s="50"/>
      <c r="C79" s="50"/>
      <c r="D79" s="50"/>
      <c r="E79" s="50"/>
      <c r="F79" s="50"/>
      <c r="G79" s="50"/>
    </row>
    <row r="80" customFormat="false" ht="20.85" hidden="false" customHeight="false" outlineLevel="0" collapsed="false">
      <c r="A80" s="6" t="s">
        <v>285</v>
      </c>
      <c r="B80" s="6" t="s">
        <v>286</v>
      </c>
      <c r="C80" s="6" t="s">
        <v>287</v>
      </c>
      <c r="D80" s="6" t="s">
        <v>288</v>
      </c>
      <c r="E80" s="6" t="s">
        <v>289</v>
      </c>
      <c r="F80" s="6" t="s">
        <v>290</v>
      </c>
      <c r="G80" s="6"/>
    </row>
    <row r="81" customFormat="false" ht="20.85" hidden="false" customHeight="false" outlineLevel="0" collapsed="false">
      <c r="A81" s="8" t="s">
        <v>291</v>
      </c>
      <c r="B81" s="8" t="s">
        <v>292</v>
      </c>
      <c r="C81" s="8" t="s">
        <v>293</v>
      </c>
      <c r="D81" s="8" t="s">
        <v>294</v>
      </c>
      <c r="E81" s="8" t="s">
        <v>295</v>
      </c>
      <c r="F81" s="8" t="s">
        <v>296</v>
      </c>
      <c r="G81" s="8" t="s">
        <v>297</v>
      </c>
    </row>
    <row r="82" customFormat="false" ht="20.85" hidden="false" customHeight="false" outlineLevel="0" collapsed="false">
      <c r="A82" s="6" t="s">
        <v>298</v>
      </c>
      <c r="B82" s="6" t="s">
        <v>299</v>
      </c>
      <c r="C82" s="6" t="s">
        <v>300</v>
      </c>
      <c r="D82" s="6" t="s">
        <v>301</v>
      </c>
      <c r="E82" s="6" t="s">
        <v>302</v>
      </c>
      <c r="F82" s="6" t="s">
        <v>303</v>
      </c>
      <c r="G82" s="6"/>
    </row>
    <row r="83" customFormat="false" ht="20.85" hidden="false" customHeight="false" outlineLevel="0" collapsed="false">
      <c r="A83" s="8" t="s">
        <v>298</v>
      </c>
      <c r="B83" s="8" t="s">
        <v>304</v>
      </c>
      <c r="C83" s="8" t="s">
        <v>305</v>
      </c>
      <c r="D83" s="8" t="s">
        <v>306</v>
      </c>
      <c r="E83" s="8" t="s">
        <v>31</v>
      </c>
      <c r="F83" s="8" t="s">
        <v>307</v>
      </c>
      <c r="G83" s="8"/>
    </row>
  </sheetData>
  <mergeCells count="16">
    <mergeCell ref="A1:G1"/>
    <mergeCell ref="A2:G2"/>
    <mergeCell ref="A5:G5"/>
    <mergeCell ref="A7:G7"/>
    <mergeCell ref="A15:G15"/>
    <mergeCell ref="A20:G20"/>
    <mergeCell ref="A24:G24"/>
    <mergeCell ref="A29:G29"/>
    <mergeCell ref="A35:G35"/>
    <mergeCell ref="A38:G38"/>
    <mergeCell ref="A42:G42"/>
    <mergeCell ref="A47:G47"/>
    <mergeCell ref="A50:G50"/>
    <mergeCell ref="A54:G54"/>
    <mergeCell ref="A57:G57"/>
    <mergeCell ref="A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16.5" hidden="false" customHeight="true" outlineLevel="0" collapsed="false">
      <c r="A1" s="51" t="s">
        <v>308</v>
      </c>
      <c r="B1" s="51"/>
      <c r="C1" s="51"/>
      <c r="D1" s="51"/>
      <c r="E1" s="51"/>
    </row>
    <row r="3" customFormat="false" ht="15" hidden="false" customHeight="false" outlineLevel="0" collapsed="false">
      <c r="A3" s="4" t="s">
        <v>309</v>
      </c>
      <c r="B3" s="4" t="s">
        <v>310</v>
      </c>
      <c r="C3" s="4" t="s">
        <v>311</v>
      </c>
      <c r="D3" s="4" t="s">
        <v>6</v>
      </c>
      <c r="E3" s="4" t="s">
        <v>312</v>
      </c>
    </row>
    <row r="4" customFormat="false" ht="15" hidden="false" customHeight="false" outlineLevel="0" collapsed="false">
      <c r="A4" s="15" t="s">
        <v>313</v>
      </c>
      <c r="B4" s="15" t="s">
        <v>314</v>
      </c>
      <c r="C4" s="15" t="n">
        <v>8</v>
      </c>
      <c r="D4" s="15" t="s">
        <v>82</v>
      </c>
      <c r="E4" s="15" t="s">
        <v>315</v>
      </c>
    </row>
    <row r="5" customFormat="false" ht="27.75" hidden="false" customHeight="true" outlineLevel="0" collapsed="false">
      <c r="A5" s="15" t="s">
        <v>72</v>
      </c>
      <c r="B5" s="15" t="s">
        <v>96</v>
      </c>
      <c r="C5" s="15" t="n">
        <v>392</v>
      </c>
      <c r="D5" s="15" t="s">
        <v>92</v>
      </c>
      <c r="E5" s="15" t="s">
        <v>316</v>
      </c>
    </row>
    <row r="6" customFormat="false" ht="15" hidden="false" customHeight="false" outlineLevel="0" collapsed="false">
      <c r="A6" s="15" t="s">
        <v>96</v>
      </c>
      <c r="B6" s="15" t="s">
        <v>117</v>
      </c>
      <c r="C6" s="15" t="n">
        <v>87</v>
      </c>
      <c r="D6" s="15" t="s">
        <v>113</v>
      </c>
      <c r="E6" s="15" t="s">
        <v>317</v>
      </c>
    </row>
    <row r="7" customFormat="false" ht="15" hidden="false" customHeight="false" outlineLevel="0" collapsed="false">
      <c r="A7" s="15" t="s">
        <v>96</v>
      </c>
      <c r="B7" s="15" t="s">
        <v>318</v>
      </c>
      <c r="C7" s="15" t="n">
        <v>44</v>
      </c>
      <c r="D7" s="15" t="s">
        <v>232</v>
      </c>
      <c r="E7" s="15" t="s">
        <v>319</v>
      </c>
    </row>
    <row r="8" customFormat="false" ht="15" hidden="false" customHeight="false" outlineLevel="0" collapsed="false">
      <c r="A8" s="15" t="s">
        <v>96</v>
      </c>
      <c r="B8" s="15" t="s">
        <v>320</v>
      </c>
      <c r="C8" s="15" t="n">
        <v>100</v>
      </c>
      <c r="D8" s="15" t="s">
        <v>113</v>
      </c>
      <c r="E8" s="15" t="s">
        <v>321</v>
      </c>
    </row>
    <row r="9" customFormat="false" ht="15" hidden="false" customHeight="false" outlineLevel="0" collapsed="false">
      <c r="A9" s="15" t="s">
        <v>96</v>
      </c>
      <c r="B9" s="15" t="s">
        <v>322</v>
      </c>
      <c r="C9" s="15" t="n">
        <v>80</v>
      </c>
      <c r="D9" s="15" t="s">
        <v>323</v>
      </c>
      <c r="E9" s="15" t="s">
        <v>324</v>
      </c>
    </row>
    <row r="10" customFormat="false" ht="15" hidden="false" customHeight="false" outlineLevel="0" collapsed="false">
      <c r="A10" s="15" t="s">
        <v>96</v>
      </c>
      <c r="B10" s="15" t="s">
        <v>325</v>
      </c>
      <c r="C10" s="15" t="n">
        <v>310</v>
      </c>
      <c r="D10" s="15" t="s">
        <v>170</v>
      </c>
      <c r="E10" s="15" t="s">
        <v>326</v>
      </c>
    </row>
    <row r="11" customFormat="false" ht="15" hidden="false" customHeight="false" outlineLevel="0" collapsed="false">
      <c r="A11" s="15" t="s">
        <v>96</v>
      </c>
      <c r="B11" s="15" t="s">
        <v>327</v>
      </c>
      <c r="C11" s="15" t="n">
        <v>314</v>
      </c>
      <c r="D11" s="15" t="s">
        <v>92</v>
      </c>
      <c r="E11" s="15" t="s">
        <v>328</v>
      </c>
    </row>
    <row r="12" customFormat="false" ht="15" hidden="false" customHeight="false" outlineLevel="0" collapsed="false">
      <c r="A12" s="15" t="s">
        <v>96</v>
      </c>
      <c r="B12" s="15" t="s">
        <v>216</v>
      </c>
      <c r="C12" s="15" t="n">
        <v>387</v>
      </c>
      <c r="D12" s="15" t="s">
        <v>211</v>
      </c>
      <c r="E12" s="15" t="s">
        <v>329</v>
      </c>
    </row>
    <row r="13" customFormat="false" ht="15" hidden="false" customHeight="false" outlineLevel="0" collapsed="false">
      <c r="A13" s="15" t="s">
        <v>174</v>
      </c>
      <c r="B13" s="15" t="s">
        <v>327</v>
      </c>
      <c r="C13" s="15" t="n">
        <v>55</v>
      </c>
      <c r="D13" s="15" t="s">
        <v>330</v>
      </c>
      <c r="E13" s="15" t="s">
        <v>331</v>
      </c>
    </row>
    <row r="14" customFormat="false" ht="15" hidden="false" customHeight="false" outlineLevel="0" collapsed="false">
      <c r="A14" s="15" t="s">
        <v>174</v>
      </c>
      <c r="B14" s="15" t="s">
        <v>216</v>
      </c>
      <c r="C14" s="15" t="n">
        <v>160</v>
      </c>
      <c r="D14" s="15" t="s">
        <v>161</v>
      </c>
      <c r="E14" s="15" t="s">
        <v>332</v>
      </c>
    </row>
    <row r="15" customFormat="false" ht="15" hidden="false" customHeight="false" outlineLevel="0" collapsed="false">
      <c r="A15" s="15" t="s">
        <v>327</v>
      </c>
      <c r="B15" s="15" t="s">
        <v>72</v>
      </c>
      <c r="C15" s="15" t="n">
        <v>215</v>
      </c>
      <c r="D15" s="15" t="s">
        <v>193</v>
      </c>
      <c r="E15" s="15" t="s">
        <v>333</v>
      </c>
    </row>
    <row r="16" customFormat="false" ht="15" hidden="false" customHeight="false" outlineLevel="0" collapsed="false">
      <c r="A16" s="15" t="s">
        <v>72</v>
      </c>
      <c r="B16" s="15" t="s">
        <v>201</v>
      </c>
      <c r="C16" s="15" t="n">
        <v>55</v>
      </c>
      <c r="D16" s="15" t="s">
        <v>232</v>
      </c>
      <c r="E16" s="15" t="s">
        <v>334</v>
      </c>
    </row>
    <row r="17" customFormat="false" ht="27.75" hidden="false" customHeight="true" outlineLevel="0" collapsed="false">
      <c r="A17" s="15" t="s">
        <v>72</v>
      </c>
      <c r="B17" s="15" t="s">
        <v>216</v>
      </c>
      <c r="C17" s="15" t="n">
        <v>440</v>
      </c>
      <c r="D17" s="15" t="s">
        <v>335</v>
      </c>
      <c r="E17" s="15" t="s">
        <v>336</v>
      </c>
    </row>
    <row r="18" customFormat="false" ht="15" hidden="false" customHeight="false" outlineLevel="0" collapsed="false">
      <c r="A18" s="52" t="s">
        <v>216</v>
      </c>
      <c r="B18" s="52" t="s">
        <v>72</v>
      </c>
      <c r="C18" s="52" t="n">
        <v>440</v>
      </c>
      <c r="D18" s="52" t="s">
        <v>335</v>
      </c>
      <c r="E18" s="52" t="s">
        <v>333</v>
      </c>
    </row>
    <row r="19" customFormat="false" ht="27.75" hidden="false" customHeight="true" outlineLevel="0" collapsed="false">
      <c r="A19" s="53" t="s">
        <v>201</v>
      </c>
      <c r="B19" s="53" t="s">
        <v>244</v>
      </c>
      <c r="C19" s="53" t="n">
        <v>130</v>
      </c>
      <c r="D19" s="53" t="s">
        <v>134</v>
      </c>
      <c r="E19" s="52" t="s">
        <v>337</v>
      </c>
    </row>
    <row r="20" customFormat="false" ht="15" hidden="false" customHeight="false" outlineLevel="0" collapsed="false">
      <c r="A20" s="53" t="s">
        <v>72</v>
      </c>
      <c r="B20" s="53" t="s">
        <v>244</v>
      </c>
      <c r="C20" s="53" t="n">
        <v>140</v>
      </c>
      <c r="D20" s="53" t="s">
        <v>175</v>
      </c>
      <c r="E20" s="52" t="s">
        <v>338</v>
      </c>
    </row>
    <row r="21" customFormat="false" ht="42" hidden="false" customHeight="true" outlineLevel="0" collapsed="false">
      <c r="A21" s="54" t="s">
        <v>244</v>
      </c>
      <c r="B21" s="54" t="s">
        <v>201</v>
      </c>
      <c r="C21" s="54" t="n">
        <v>130</v>
      </c>
      <c r="D21" s="54" t="s">
        <v>134</v>
      </c>
      <c r="E21" s="15" t="s">
        <v>339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40"/>
  </cols>
  <sheetData>
    <row r="1" customFormat="false" ht="16.5" hidden="false" customHeight="true" outlineLevel="0" collapsed="false">
      <c r="A1" s="51" t="s">
        <v>340</v>
      </c>
      <c r="B1" s="51"/>
      <c r="C1" s="51"/>
      <c r="D1" s="51"/>
    </row>
    <row r="2" customFormat="false" ht="15" hidden="false" customHeight="false" outlineLevel="0" collapsed="false">
      <c r="A2" s="55" t="s">
        <v>341</v>
      </c>
      <c r="B2" s="55"/>
      <c r="C2" s="55"/>
      <c r="D2" s="55"/>
    </row>
    <row r="4" customFormat="false" ht="30" hidden="false" customHeight="true" outlineLevel="0" collapsed="false">
      <c r="A4" s="4" t="s">
        <v>2</v>
      </c>
      <c r="B4" s="4" t="s">
        <v>342</v>
      </c>
      <c r="C4" s="4" t="s">
        <v>343</v>
      </c>
      <c r="D4" s="4" t="s">
        <v>344</v>
      </c>
    </row>
    <row r="5" customFormat="false" ht="55.5" hidden="false" customHeight="true" outlineLevel="0" collapsed="false">
      <c r="A5" s="15" t="s">
        <v>345</v>
      </c>
      <c r="B5" s="15" t="s">
        <v>346</v>
      </c>
      <c r="C5" s="15" t="s">
        <v>347</v>
      </c>
      <c r="D5" s="15" t="s">
        <v>348</v>
      </c>
    </row>
    <row r="6" customFormat="false" ht="27.75" hidden="false" customHeight="true" outlineLevel="0" collapsed="false">
      <c r="A6" s="15" t="s">
        <v>349</v>
      </c>
      <c r="B6" s="15" t="s">
        <v>350</v>
      </c>
      <c r="C6" s="15" t="s">
        <v>351</v>
      </c>
      <c r="D6" s="15" t="s">
        <v>352</v>
      </c>
    </row>
    <row r="7" customFormat="false" ht="42" hidden="false" customHeight="true" outlineLevel="0" collapsed="false">
      <c r="A7" s="15" t="s">
        <v>353</v>
      </c>
      <c r="B7" s="15" t="s">
        <v>354</v>
      </c>
      <c r="C7" s="15" t="s">
        <v>354</v>
      </c>
      <c r="D7" s="15" t="s">
        <v>355</v>
      </c>
    </row>
    <row r="8" customFormat="false" ht="97.5" hidden="false" customHeight="true" outlineLevel="0" collapsed="false">
      <c r="A8" s="15" t="s">
        <v>356</v>
      </c>
      <c r="B8" s="15" t="s">
        <v>357</v>
      </c>
      <c r="C8" s="15" t="s">
        <v>358</v>
      </c>
      <c r="D8" s="15" t="s">
        <v>359</v>
      </c>
    </row>
    <row r="9" customFormat="false" ht="55.5" hidden="false" customHeight="true" outlineLevel="0" collapsed="false">
      <c r="A9" s="15" t="s">
        <v>360</v>
      </c>
      <c r="B9" s="15" t="s">
        <v>361</v>
      </c>
      <c r="C9" s="15" t="s">
        <v>362</v>
      </c>
      <c r="D9" s="15" t="s">
        <v>363</v>
      </c>
    </row>
    <row r="10" customFormat="false" ht="42" hidden="false" customHeight="true" outlineLevel="0" collapsed="false">
      <c r="A10" s="18" t="s">
        <v>364</v>
      </c>
      <c r="B10" s="18" t="s">
        <v>365</v>
      </c>
      <c r="C10" s="18" t="s">
        <v>366</v>
      </c>
      <c r="D10" s="18" t="s">
        <v>367</v>
      </c>
    </row>
    <row r="11" customFormat="false" ht="27.75" hidden="false" customHeight="true" outlineLevel="0" collapsed="false">
      <c r="A11" s="23" t="s">
        <v>368</v>
      </c>
      <c r="B11" s="23" t="s">
        <v>369</v>
      </c>
      <c r="C11" s="23" t="s">
        <v>370</v>
      </c>
      <c r="D11" s="23" t="s">
        <v>371</v>
      </c>
    </row>
    <row r="12" customFormat="false" ht="42" hidden="false" customHeight="true" outlineLevel="0" collapsed="false">
      <c r="A12" s="15" t="s">
        <v>372</v>
      </c>
      <c r="B12" s="15" t="s">
        <v>373</v>
      </c>
      <c r="C12" s="15" t="s">
        <v>374</v>
      </c>
      <c r="D12" s="15" t="s">
        <v>375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15"/>
  </cols>
  <sheetData>
    <row r="1" customFormat="false" ht="16.5" hidden="false" customHeight="true" outlineLevel="0" collapsed="false">
      <c r="A1" s="51" t="s">
        <v>376</v>
      </c>
      <c r="B1" s="51"/>
      <c r="C1" s="51"/>
      <c r="D1" s="51"/>
      <c r="E1" s="51"/>
    </row>
    <row r="3" customFormat="false" ht="15" hidden="false" customHeight="false" outlineLevel="0" collapsed="false">
      <c r="A3" s="4" t="s">
        <v>377</v>
      </c>
      <c r="B3" s="4" t="s">
        <v>378</v>
      </c>
      <c r="C3" s="4" t="s">
        <v>379</v>
      </c>
      <c r="D3" s="4" t="s">
        <v>380</v>
      </c>
      <c r="E3" s="4" t="s">
        <v>381</v>
      </c>
    </row>
    <row r="4" customFormat="false" ht="27.75" hidden="false" customHeight="true" outlineLevel="0" collapsed="false">
      <c r="A4" s="15" t="n">
        <v>1</v>
      </c>
      <c r="B4" s="15" t="s">
        <v>382</v>
      </c>
      <c r="C4" s="15" t="s">
        <v>383</v>
      </c>
      <c r="D4" s="15" t="s">
        <v>384</v>
      </c>
      <c r="E4" s="15"/>
    </row>
    <row r="5" customFormat="false" ht="27.75" hidden="false" customHeight="true" outlineLevel="0" collapsed="false">
      <c r="A5" s="15" t="n">
        <v>2</v>
      </c>
      <c r="B5" s="15" t="s">
        <v>385</v>
      </c>
      <c r="C5" s="15" t="s">
        <v>383</v>
      </c>
      <c r="D5" s="15" t="s">
        <v>386</v>
      </c>
      <c r="E5" s="15"/>
    </row>
    <row r="6" customFormat="false" ht="27.75" hidden="false" customHeight="true" outlineLevel="0" collapsed="false">
      <c r="A6" s="15" t="n">
        <v>3</v>
      </c>
      <c r="B6" s="15" t="s">
        <v>387</v>
      </c>
      <c r="C6" s="15" t="s">
        <v>388</v>
      </c>
      <c r="D6" s="15" t="s">
        <v>389</v>
      </c>
      <c r="E6" s="15"/>
    </row>
    <row r="7" customFormat="false" ht="111.75" hidden="false" customHeight="true" outlineLevel="0" collapsed="false">
      <c r="A7" s="15" t="n">
        <v>4</v>
      </c>
      <c r="B7" s="15" t="s">
        <v>390</v>
      </c>
      <c r="C7" s="15" t="s">
        <v>391</v>
      </c>
      <c r="D7" s="15" t="s">
        <v>392</v>
      </c>
      <c r="E7" s="15" t="s">
        <v>393</v>
      </c>
    </row>
    <row r="8" customFormat="false" ht="27.75" hidden="false" customHeight="true" outlineLevel="0" collapsed="false">
      <c r="A8" s="15" t="n">
        <v>5</v>
      </c>
      <c r="B8" s="15" t="s">
        <v>394</v>
      </c>
      <c r="C8" s="15" t="s">
        <v>391</v>
      </c>
      <c r="D8" s="15" t="s">
        <v>395</v>
      </c>
      <c r="E8" s="15"/>
    </row>
    <row r="9" customFormat="false" ht="15" hidden="false" customHeight="false" outlineLevel="0" collapsed="false">
      <c r="A9" s="15" t="n">
        <v>6</v>
      </c>
      <c r="B9" s="15" t="s">
        <v>396</v>
      </c>
      <c r="C9" s="15" t="s">
        <v>391</v>
      </c>
      <c r="D9" s="15" t="s">
        <v>397</v>
      </c>
      <c r="E9" s="15"/>
    </row>
    <row r="10" customFormat="false" ht="27.75" hidden="false" customHeight="true" outlineLevel="0" collapsed="false">
      <c r="A10" s="15" t="n">
        <v>7</v>
      </c>
      <c r="B10" s="15" t="s">
        <v>398</v>
      </c>
      <c r="C10" s="15" t="s">
        <v>391</v>
      </c>
      <c r="D10" s="15" t="s">
        <v>399</v>
      </c>
      <c r="E10" s="15"/>
    </row>
    <row r="11" customFormat="false" ht="27.75" hidden="false" customHeight="true" outlineLevel="0" collapsed="false">
      <c r="A11" s="15" t="n">
        <v>8</v>
      </c>
      <c r="B11" s="15" t="s">
        <v>400</v>
      </c>
      <c r="C11" s="15" t="s">
        <v>401</v>
      </c>
      <c r="D11" s="15" t="s">
        <v>402</v>
      </c>
      <c r="E11" s="15"/>
    </row>
    <row r="12" customFormat="false" ht="27.75" hidden="false" customHeight="true" outlineLevel="0" collapsed="false">
      <c r="A12" s="15" t="n">
        <v>9</v>
      </c>
      <c r="B12" s="15" t="s">
        <v>403</v>
      </c>
      <c r="C12" s="15" t="s">
        <v>404</v>
      </c>
      <c r="D12" s="15" t="s">
        <v>405</v>
      </c>
      <c r="E12" s="15"/>
    </row>
    <row r="13" customFormat="false" ht="27.75" hidden="false" customHeight="true" outlineLevel="0" collapsed="false">
      <c r="A13" s="15" t="n">
        <v>10</v>
      </c>
      <c r="B13" s="15" t="s">
        <v>406</v>
      </c>
      <c r="C13" s="15" t="s">
        <v>404</v>
      </c>
      <c r="D13" s="15" t="s">
        <v>407</v>
      </c>
      <c r="E13" s="15"/>
    </row>
    <row r="14" customFormat="false" ht="15" hidden="false" customHeight="false" outlineLevel="0" collapsed="false">
      <c r="A14" s="15" t="n">
        <v>11</v>
      </c>
      <c r="B14" s="15" t="s">
        <v>408</v>
      </c>
      <c r="C14" s="15" t="s">
        <v>404</v>
      </c>
      <c r="D14" s="15" t="s">
        <v>409</v>
      </c>
      <c r="E14" s="15"/>
    </row>
    <row r="15" customFormat="false" ht="15" hidden="false" customHeight="false" outlineLevel="0" collapsed="false">
      <c r="A15" s="15" t="n">
        <v>12</v>
      </c>
      <c r="B15" s="15" t="s">
        <v>190</v>
      </c>
      <c r="C15" s="15" t="s">
        <v>410</v>
      </c>
      <c r="D15" s="15" t="s">
        <v>411</v>
      </c>
      <c r="E15" s="15"/>
    </row>
    <row r="16" customFormat="false" ht="15" hidden="false" customHeight="false" outlineLevel="0" collapsed="false">
      <c r="A16" s="15" t="n">
        <v>13</v>
      </c>
      <c r="B16" s="15" t="s">
        <v>412</v>
      </c>
      <c r="C16" s="15" t="s">
        <v>410</v>
      </c>
      <c r="D16" s="15" t="s">
        <v>413</v>
      </c>
      <c r="E16" s="15"/>
    </row>
    <row r="17" customFormat="false" ht="15" hidden="false" customHeight="false" outlineLevel="0" collapsed="false">
      <c r="A17" s="15" t="n">
        <v>14</v>
      </c>
      <c r="B17" s="15" t="s">
        <v>102</v>
      </c>
      <c r="C17" s="15" t="s">
        <v>414</v>
      </c>
      <c r="D17" s="15" t="s">
        <v>415</v>
      </c>
      <c r="E17" s="15"/>
    </row>
    <row r="18" customFormat="false" ht="15" hidden="false" customHeight="false" outlineLevel="0" collapsed="false">
      <c r="A18" s="15" t="n">
        <v>15</v>
      </c>
      <c r="B18" s="15" t="s">
        <v>416</v>
      </c>
      <c r="C18" s="15" t="s">
        <v>417</v>
      </c>
      <c r="D18" s="15" t="s">
        <v>418</v>
      </c>
      <c r="E18" s="15"/>
    </row>
    <row r="19" customFormat="false" ht="27.75" hidden="false" customHeight="true" outlineLevel="0" collapsed="false">
      <c r="A19" s="15" t="n">
        <v>16</v>
      </c>
      <c r="B19" s="15" t="s">
        <v>419</v>
      </c>
      <c r="C19" s="15" t="s">
        <v>401</v>
      </c>
      <c r="D19" s="15" t="s">
        <v>420</v>
      </c>
      <c r="E19" s="15"/>
    </row>
    <row r="20" customFormat="false" ht="15" hidden="false" customHeight="false" outlineLevel="0" collapsed="false">
      <c r="A20" s="15" t="n">
        <v>17</v>
      </c>
      <c r="B20" s="15" t="s">
        <v>421</v>
      </c>
      <c r="C20" s="15" t="s">
        <v>422</v>
      </c>
      <c r="D20" s="15" t="s">
        <v>423</v>
      </c>
      <c r="E20" s="15"/>
    </row>
    <row r="21" customFormat="false" ht="27.75" hidden="false" customHeight="true" outlineLevel="0" collapsed="false">
      <c r="A21" s="15" t="n">
        <v>18</v>
      </c>
      <c r="B21" s="15" t="s">
        <v>424</v>
      </c>
      <c r="C21" s="15" t="s">
        <v>425</v>
      </c>
      <c r="D21" s="15" t="s">
        <v>426</v>
      </c>
      <c r="E21" s="15"/>
    </row>
    <row r="22" customFormat="false" ht="27.75" hidden="false" customHeight="true" outlineLevel="0" collapsed="false">
      <c r="A22" s="56" t="n">
        <v>19</v>
      </c>
      <c r="B22" s="56" t="s">
        <v>427</v>
      </c>
      <c r="C22" s="56" t="s">
        <v>391</v>
      </c>
      <c r="D22" s="56" t="s">
        <v>428</v>
      </c>
    </row>
    <row r="23" customFormat="false" ht="27.75" hidden="false" customHeight="true" outlineLevel="0" collapsed="false">
      <c r="A23" s="56" t="n">
        <v>20</v>
      </c>
      <c r="B23" s="56" t="s">
        <v>429</v>
      </c>
      <c r="C23" s="56" t="s">
        <v>410</v>
      </c>
      <c r="D23" s="56" t="s">
        <v>430</v>
      </c>
    </row>
    <row r="24" customFormat="false" ht="42" hidden="false" customHeight="true" outlineLevel="0" collapsed="false">
      <c r="A24" s="57" t="n">
        <v>21</v>
      </c>
      <c r="B24" s="57" t="s">
        <v>431</v>
      </c>
      <c r="C24" s="57" t="s">
        <v>432</v>
      </c>
      <c r="D24" s="57" t="s">
        <v>433</v>
      </c>
    </row>
    <row r="25" customFormat="false" ht="30.55" hidden="false" customHeight="false" outlineLevel="0" collapsed="false">
      <c r="A25" s="58" t="n">
        <v>22</v>
      </c>
      <c r="B25" s="58" t="s">
        <v>434</v>
      </c>
      <c r="C25" s="58" t="s">
        <v>383</v>
      </c>
      <c r="D25" s="58" t="s">
        <v>435</v>
      </c>
      <c r="E25" s="58" t="s">
        <v>436</v>
      </c>
    </row>
    <row r="26" customFormat="false" ht="30.55" hidden="false" customHeight="false" outlineLevel="0" collapsed="false">
      <c r="A26" s="58" t="n">
        <v>23</v>
      </c>
      <c r="B26" s="58" t="s">
        <v>437</v>
      </c>
      <c r="C26" s="58" t="s">
        <v>383</v>
      </c>
      <c r="D26" s="58" t="s">
        <v>438</v>
      </c>
      <c r="E26" s="58" t="s">
        <v>439</v>
      </c>
    </row>
    <row r="27" customFormat="false" ht="30.55" hidden="false" customHeight="false" outlineLevel="0" collapsed="false">
      <c r="A27" s="58" t="n">
        <v>24</v>
      </c>
      <c r="B27" s="58" t="s">
        <v>440</v>
      </c>
      <c r="C27" s="58" t="s">
        <v>383</v>
      </c>
      <c r="D27" s="58" t="s">
        <v>441</v>
      </c>
      <c r="E27" s="58" t="s">
        <v>442</v>
      </c>
    </row>
    <row r="28" customFormat="false" ht="30.55" hidden="false" customHeight="false" outlineLevel="0" collapsed="false">
      <c r="A28" s="58" t="n">
        <v>25</v>
      </c>
      <c r="B28" s="58" t="s">
        <v>443</v>
      </c>
      <c r="C28" s="58" t="s">
        <v>383</v>
      </c>
      <c r="D28" s="58" t="s">
        <v>444</v>
      </c>
      <c r="E28" s="58" t="s">
        <v>436</v>
      </c>
    </row>
    <row r="29" customFormat="false" ht="20.85" hidden="false" customHeight="false" outlineLevel="0" collapsed="false">
      <c r="A29" s="8" t="n">
        <v>26</v>
      </c>
      <c r="B29" s="8" t="s">
        <v>445</v>
      </c>
      <c r="C29" s="8" t="s">
        <v>391</v>
      </c>
      <c r="D29" s="8" t="s">
        <v>446</v>
      </c>
      <c r="E29" s="8" t="s">
        <v>447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35"/>
  </cols>
  <sheetData>
    <row r="1" customFormat="false" ht="16.5" hidden="false" customHeight="true" outlineLevel="0" collapsed="false">
      <c r="A1" s="51" t="s">
        <v>448</v>
      </c>
      <c r="B1" s="51"/>
      <c r="C1" s="51"/>
      <c r="D1" s="51"/>
    </row>
    <row r="3" customFormat="false" ht="15" hidden="false" customHeight="false" outlineLevel="0" collapsed="false">
      <c r="A3" s="4" t="s">
        <v>378</v>
      </c>
      <c r="B3" s="4" t="s">
        <v>449</v>
      </c>
      <c r="C3" s="4" t="s">
        <v>450</v>
      </c>
      <c r="D3" s="4" t="s">
        <v>312</v>
      </c>
    </row>
    <row r="4" customFormat="false" ht="27.75" hidden="false" customHeight="true" outlineLevel="0" collapsed="false">
      <c r="A4" s="15" t="s">
        <v>451</v>
      </c>
      <c r="B4" s="59" t="n">
        <v>900</v>
      </c>
      <c r="C4" s="59" t="n">
        <v>1800</v>
      </c>
      <c r="D4" s="15" t="s">
        <v>452</v>
      </c>
    </row>
    <row r="5" customFormat="false" ht="42" hidden="false" customHeight="true" outlineLevel="0" collapsed="false">
      <c r="A5" s="15" t="s">
        <v>453</v>
      </c>
      <c r="B5" s="59" t="n">
        <v>300</v>
      </c>
      <c r="C5" s="59" t="n">
        <v>600</v>
      </c>
      <c r="D5" s="15" t="s">
        <v>454</v>
      </c>
    </row>
    <row r="6" customFormat="false" ht="27.75" hidden="false" customHeight="true" outlineLevel="0" collapsed="false">
      <c r="A6" s="15" t="s">
        <v>455</v>
      </c>
      <c r="B6" s="59" t="n">
        <v>650</v>
      </c>
      <c r="C6" s="59" t="n">
        <v>1100</v>
      </c>
      <c r="D6" s="15" t="s">
        <v>456</v>
      </c>
    </row>
    <row r="7" customFormat="false" ht="42" hidden="false" customHeight="true" outlineLevel="0" collapsed="false">
      <c r="A7" s="15" t="s">
        <v>457</v>
      </c>
      <c r="B7" s="59" t="n">
        <v>300</v>
      </c>
      <c r="C7" s="59" t="n">
        <v>450</v>
      </c>
      <c r="D7" s="15" t="s">
        <v>458</v>
      </c>
    </row>
    <row r="8" customFormat="false" ht="15" hidden="false" customHeight="false" outlineLevel="0" collapsed="false">
      <c r="A8" s="15" t="s">
        <v>459</v>
      </c>
      <c r="B8" s="59" t="n">
        <v>50</v>
      </c>
      <c r="C8" s="59" t="n">
        <v>100</v>
      </c>
      <c r="D8" s="15" t="s">
        <v>460</v>
      </c>
    </row>
    <row r="9" customFormat="false" ht="42" hidden="false" customHeight="true" outlineLevel="0" collapsed="false">
      <c r="A9" s="15" t="s">
        <v>461</v>
      </c>
      <c r="B9" s="59" t="n">
        <v>750</v>
      </c>
      <c r="C9" s="59" t="n">
        <v>850</v>
      </c>
      <c r="D9" s="15" t="s">
        <v>462</v>
      </c>
    </row>
    <row r="10" customFormat="false" ht="27.75" hidden="false" customHeight="true" outlineLevel="0" collapsed="false">
      <c r="A10" s="15" t="s">
        <v>463</v>
      </c>
      <c r="B10" s="59" t="n">
        <v>80</v>
      </c>
      <c r="C10" s="59" t="n">
        <v>180</v>
      </c>
      <c r="D10" s="15" t="s">
        <v>464</v>
      </c>
    </row>
    <row r="11" customFormat="false" ht="15" hidden="false" customHeight="false" outlineLevel="0" collapsed="false">
      <c r="A11" s="15" t="s">
        <v>465</v>
      </c>
      <c r="B11" s="59" t="n">
        <v>100</v>
      </c>
      <c r="C11" s="59" t="n">
        <v>200</v>
      </c>
      <c r="D11" s="15" t="s">
        <v>466</v>
      </c>
    </row>
    <row r="12" customFormat="false" ht="27.75" hidden="false" customHeight="true" outlineLevel="0" collapsed="false">
      <c r="A12" s="15" t="s">
        <v>467</v>
      </c>
      <c r="B12" s="59" t="n">
        <v>800</v>
      </c>
      <c r="C12" s="59" t="n">
        <v>1400</v>
      </c>
      <c r="D12" s="15" t="s">
        <v>468</v>
      </c>
    </row>
    <row r="13" customFormat="false" ht="55.5" hidden="false" customHeight="true" outlineLevel="0" collapsed="false">
      <c r="A13" s="15" t="s">
        <v>469</v>
      </c>
      <c r="B13" s="59" t="n">
        <v>200</v>
      </c>
      <c r="C13" s="59" t="n">
        <v>800</v>
      </c>
      <c r="D13" s="15" t="s">
        <v>470</v>
      </c>
    </row>
    <row r="14" customFormat="false" ht="27.75" hidden="false" customHeight="true" outlineLevel="0" collapsed="false">
      <c r="A14" s="15" t="s">
        <v>471</v>
      </c>
      <c r="B14" s="59" t="n">
        <v>100</v>
      </c>
      <c r="C14" s="59" t="n">
        <v>300</v>
      </c>
      <c r="D14" s="15" t="s">
        <v>472</v>
      </c>
    </row>
    <row r="15" customFormat="false" ht="15" hidden="false" customHeight="false" outlineLevel="0" collapsed="false">
      <c r="A15" s="15" t="s">
        <v>473</v>
      </c>
      <c r="B15" s="59" t="n">
        <v>100</v>
      </c>
      <c r="C15" s="59" t="n">
        <v>200</v>
      </c>
      <c r="D15" s="15" t="s">
        <v>474</v>
      </c>
    </row>
    <row r="16" customFormat="false" ht="30.55" hidden="false" customHeight="false" outlineLevel="0" collapsed="false">
      <c r="A16" s="8" t="s">
        <v>475</v>
      </c>
      <c r="B16" s="8"/>
      <c r="C16" s="8"/>
      <c r="D16" s="8" t="s">
        <v>476</v>
      </c>
    </row>
    <row r="17" customFormat="false" ht="40.25" hidden="false" customHeight="false" outlineLevel="0" collapsed="false">
      <c r="A17" s="8" t="s">
        <v>477</v>
      </c>
      <c r="B17" s="8" t="n">
        <v>197</v>
      </c>
      <c r="C17" s="8" t="n">
        <v>300</v>
      </c>
      <c r="D17" s="8" t="s">
        <v>478</v>
      </c>
    </row>
    <row r="18" customFormat="false" ht="20.85" hidden="false" customHeight="false" outlineLevel="0" collapsed="false">
      <c r="A18" s="8" t="s">
        <v>479</v>
      </c>
      <c r="B18" s="8" t="n">
        <v>400</v>
      </c>
      <c r="C18" s="8" t="n">
        <v>600</v>
      </c>
      <c r="D18" s="8" t="s">
        <v>480</v>
      </c>
    </row>
    <row r="20" customFormat="false" ht="15" hidden="false" customHeight="false" outlineLevel="0" collapsed="false">
      <c r="A20" s="60" t="s">
        <v>481</v>
      </c>
      <c r="B20" s="61" t="n">
        <f aca="false">SUM(B4:B18)</f>
        <v>4927</v>
      </c>
      <c r="C20" s="61" t="n">
        <f aca="false">SUM(C4:C18)</f>
        <v>8880</v>
      </c>
      <c r="D20" s="6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6.5" hidden="false" customHeight="true" outlineLevel="0" collapsed="false">
      <c r="A1" s="51" t="s">
        <v>482</v>
      </c>
      <c r="B1" s="51"/>
    </row>
    <row r="3" customFormat="false" ht="27.75" hidden="false" customHeight="true" outlineLevel="0" collapsed="false">
      <c r="A3" s="63" t="s">
        <v>483</v>
      </c>
      <c r="B3" s="15" t="s">
        <v>484</v>
      </c>
    </row>
    <row r="4" customFormat="false" ht="15" hidden="false" customHeight="false" outlineLevel="0" collapsed="false">
      <c r="A4" s="63" t="s">
        <v>485</v>
      </c>
      <c r="B4" s="15" t="s">
        <v>486</v>
      </c>
    </row>
    <row r="5" customFormat="false" ht="15" hidden="false" customHeight="false" outlineLevel="0" collapsed="false">
      <c r="A5" s="63" t="s">
        <v>487</v>
      </c>
      <c r="B5" s="15" t="s">
        <v>488</v>
      </c>
    </row>
    <row r="6" customFormat="false" ht="15" hidden="false" customHeight="false" outlineLevel="0" collapsed="false">
      <c r="A6" s="63" t="s">
        <v>489</v>
      </c>
      <c r="B6" s="15" t="s">
        <v>490</v>
      </c>
    </row>
    <row r="7" customFormat="false" ht="15" hidden="false" customHeight="false" outlineLevel="0" collapsed="false">
      <c r="A7" s="63" t="s">
        <v>491</v>
      </c>
      <c r="B7" s="15" t="s">
        <v>492</v>
      </c>
    </row>
    <row r="8" customFormat="false" ht="15" hidden="false" customHeight="false" outlineLevel="0" collapsed="false">
      <c r="A8" s="63" t="s">
        <v>493</v>
      </c>
      <c r="B8" s="15" t="s">
        <v>494</v>
      </c>
    </row>
    <row r="9" customFormat="false" ht="15" hidden="false" customHeight="false" outlineLevel="0" collapsed="false">
      <c r="A9" s="63" t="s">
        <v>495</v>
      </c>
      <c r="B9" s="15" t="s">
        <v>496</v>
      </c>
    </row>
    <row r="10" customFormat="false" ht="27.75" hidden="false" customHeight="true" outlineLevel="0" collapsed="false">
      <c r="A10" s="64" t="s">
        <v>497</v>
      </c>
      <c r="B10" s="14" t="s">
        <v>498</v>
      </c>
    </row>
    <row r="11" customFormat="false" ht="27.75" hidden="false" customHeight="true" outlineLevel="0" collapsed="false">
      <c r="A11" s="63" t="s">
        <v>499</v>
      </c>
      <c r="B11" s="15" t="s">
        <v>500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65" t="s">
        <v>501</v>
      </c>
    </row>
    <row r="2" customFormat="false" ht="15" hidden="false" customHeight="false" outlineLevel="0" collapsed="false">
      <c r="A2" s="66" t="s">
        <v>502</v>
      </c>
    </row>
    <row r="4" customFormat="false" ht="15" hidden="false" customHeight="false" outlineLevel="0" collapsed="false">
      <c r="A4" s="67" t="s">
        <v>503</v>
      </c>
      <c r="B4" s="67" t="s">
        <v>504</v>
      </c>
      <c r="C4" s="67" t="s">
        <v>309</v>
      </c>
      <c r="D4" s="67" t="s">
        <v>505</v>
      </c>
      <c r="E4" s="67" t="s">
        <v>310</v>
      </c>
      <c r="F4" s="67" t="s">
        <v>506</v>
      </c>
      <c r="G4" s="67" t="s">
        <v>507</v>
      </c>
      <c r="H4" s="67" t="s">
        <v>508</v>
      </c>
      <c r="I4" s="67" t="s">
        <v>381</v>
      </c>
      <c r="J4" s="67" t="s">
        <v>312</v>
      </c>
    </row>
    <row r="5" customFormat="false" ht="15" hidden="false" customHeight="false" outlineLevel="0" collapsed="false">
      <c r="A5" s="6" t="s">
        <v>509</v>
      </c>
      <c r="B5" s="6" t="s">
        <v>510</v>
      </c>
      <c r="C5" s="6" t="s">
        <v>511</v>
      </c>
      <c r="D5" s="6" t="s">
        <v>512</v>
      </c>
      <c r="E5" s="6" t="s">
        <v>513</v>
      </c>
      <c r="F5" s="6" t="s">
        <v>514</v>
      </c>
      <c r="G5" s="6" t="s">
        <v>515</v>
      </c>
      <c r="H5" s="6" t="s">
        <v>516</v>
      </c>
      <c r="I5" s="6" t="s">
        <v>517</v>
      </c>
      <c r="J5" s="6" t="s">
        <v>518</v>
      </c>
    </row>
    <row r="6" customFormat="false" ht="15" hidden="false" customHeight="false" outlineLevel="0" collapsed="false">
      <c r="A6" s="8" t="s">
        <v>519</v>
      </c>
      <c r="B6" s="8" t="s">
        <v>520</v>
      </c>
      <c r="C6" s="8" t="s">
        <v>521</v>
      </c>
      <c r="D6" s="8" t="s">
        <v>522</v>
      </c>
      <c r="E6" s="8" t="s">
        <v>523</v>
      </c>
      <c r="F6" s="8" t="s">
        <v>524</v>
      </c>
      <c r="G6" s="8" t="s">
        <v>515</v>
      </c>
      <c r="H6" s="8" t="s">
        <v>516</v>
      </c>
      <c r="I6" s="8" t="s">
        <v>517</v>
      </c>
      <c r="J6" s="8" t="s">
        <v>525</v>
      </c>
    </row>
    <row r="7" customFormat="false" ht="20.85" hidden="false" customHeight="false" outlineLevel="0" collapsed="false">
      <c r="A7" s="6" t="s">
        <v>526</v>
      </c>
      <c r="B7" s="6" t="s">
        <v>527</v>
      </c>
      <c r="C7" s="6" t="s">
        <v>528</v>
      </c>
      <c r="D7" s="6" t="s">
        <v>529</v>
      </c>
      <c r="E7" s="6" t="s">
        <v>530</v>
      </c>
      <c r="F7" s="6" t="s">
        <v>531</v>
      </c>
      <c r="G7" s="6" t="s">
        <v>532</v>
      </c>
      <c r="H7" s="6" t="s">
        <v>533</v>
      </c>
      <c r="I7" s="6" t="s">
        <v>517</v>
      </c>
      <c r="J7" s="6" t="s">
        <v>534</v>
      </c>
    </row>
    <row r="8" customFormat="false" ht="20.85" hidden="false" customHeight="false" outlineLevel="0" collapsed="false">
      <c r="A8" s="8" t="s">
        <v>535</v>
      </c>
      <c r="B8" s="8" t="s">
        <v>536</v>
      </c>
      <c r="C8" s="8" t="s">
        <v>530</v>
      </c>
      <c r="D8" s="8" t="s">
        <v>537</v>
      </c>
      <c r="E8" s="8" t="s">
        <v>538</v>
      </c>
      <c r="F8" s="8" t="s">
        <v>539</v>
      </c>
      <c r="G8" s="8" t="s">
        <v>540</v>
      </c>
      <c r="H8" s="8" t="s">
        <v>541</v>
      </c>
      <c r="I8" s="8" t="s">
        <v>517</v>
      </c>
      <c r="J8" s="8" t="s">
        <v>542</v>
      </c>
    </row>
    <row r="9" customFormat="false" ht="20.85" hidden="false" customHeight="false" outlineLevel="0" collapsed="false">
      <c r="A9" s="6" t="s">
        <v>543</v>
      </c>
      <c r="B9" s="6" t="s">
        <v>544</v>
      </c>
      <c r="C9" s="6" t="s">
        <v>523</v>
      </c>
      <c r="D9" s="6" t="s">
        <v>545</v>
      </c>
      <c r="E9" s="6" t="s">
        <v>513</v>
      </c>
      <c r="F9" s="6" t="s">
        <v>546</v>
      </c>
      <c r="G9" s="6" t="s">
        <v>547</v>
      </c>
      <c r="H9" s="6" t="s">
        <v>516</v>
      </c>
      <c r="I9" s="6" t="s">
        <v>517</v>
      </c>
      <c r="J9" s="6" t="s">
        <v>548</v>
      </c>
    </row>
    <row r="10" customFormat="false" ht="15" hidden="false" customHeight="false" outlineLevel="0" collapsed="false">
      <c r="A10" s="8" t="s">
        <v>549</v>
      </c>
      <c r="B10" s="8" t="s">
        <v>550</v>
      </c>
      <c r="C10" s="8" t="s">
        <v>551</v>
      </c>
      <c r="D10" s="8" t="s">
        <v>552</v>
      </c>
      <c r="E10" s="8" t="s">
        <v>511</v>
      </c>
      <c r="F10" s="8" t="s">
        <v>553</v>
      </c>
      <c r="G10" s="8" t="s">
        <v>547</v>
      </c>
      <c r="H10" s="8" t="s">
        <v>516</v>
      </c>
      <c r="I10" s="8" t="s">
        <v>517</v>
      </c>
      <c r="J10" s="8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2026-03-31T05:38:38Z</dcterms:created>
  <dc:creator>openpyxl</dc:creator>
  <dc:description/>
  <dc:language>en-US</dc:language>
  <cp:lastModifiedBy>Adhikari, Simran</cp:lastModifiedBy>
  <dcterms:modified xsi:type="dcterms:W3CDTF">2026-04-02T05:53:36Z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