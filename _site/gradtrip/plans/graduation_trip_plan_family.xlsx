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yushkumarshah/Desktop/projects/graduation-trip/"/>
    </mc:Choice>
  </mc:AlternateContent>
  <xr:revisionPtr revIDLastSave="0" documentId="13_ncr:1_{B816ADE3-186F-FD43-BA8A-2B4F26FB8AC7}" xr6:coauthVersionLast="47" xr6:coauthVersionMax="47" xr10:uidLastSave="{00000000-0000-0000-0000-000000000000}"/>
  <bookViews>
    <workbookView xWindow="0" yWindow="780" windowWidth="41120" windowHeight="25800" tabRatio="500" xr2:uid="{00000000-000D-0000-FFFF-FFFF00000000}"/>
  </bookViews>
  <sheets>
    <sheet name="Master Itinerary" sheetId="1" r:id="rId1"/>
    <sheet name="Driving Distances" sheetId="2" r:id="rId2"/>
    <sheet name="Route Options (May 9–13)" sheetId="3" r:id="rId3"/>
    <sheet name="Booking Checklist" sheetId="4" r:id="rId4"/>
    <sheet name="Budget Estimate" sheetId="5" r:id="rId5"/>
    <sheet name="Sister Flight Info" sheetId="6" r:id="rId6"/>
    <sheet name="Parents' Int'l Fligh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5" l="1"/>
  <c r="B20" i="5"/>
</calcChain>
</file>

<file path=xl/sharedStrings.xml><?xml version="1.0" encoding="utf-8"?>
<sst xmlns="http://schemas.openxmlformats.org/spreadsheetml/2006/main" count="711" uniqueCount="554">
  <si>
    <t>GRADUATION TRIP MASTER ITINERARY — MAY 4–18, 2026</t>
  </si>
  <si>
    <t>Travelers: Ayush + Ram &amp; Pratibha (parents) + Astha (pickup Boston) | work conference in West Haven, CT</t>
  </si>
  <si>
    <t>Date</t>
  </si>
  <si>
    <t>Time</t>
  </si>
  <si>
    <t>Activity</t>
  </si>
  <si>
    <t>Location</t>
  </si>
  <si>
    <t>Drive Time</t>
  </si>
  <si>
    <t>Details / Notes</t>
  </si>
  <si>
    <t>Action Items</t>
  </si>
  <si>
    <t>PRE-TRIP: RAM &amp; PRATIBHA — NEPAL TO USA + AUSTIN WEDDING (APR 22–28)</t>
  </si>
  <si>
    <t>Apr 22</t>
  </si>
  <si>
    <t>11:00 PM</t>
  </si>
  <si>
    <t>Depart Kathmandu → Singapore (SQ 441)</t>
  </si>
  <si>
    <t>KTM Tribhuvan Airport, Terminal I</t>
  </si>
  <si>
    <t>7h 20m flight</t>
  </si>
  <si>
    <t>Singapore Airlines | Booking Ref: DPSOSL | Tickets: 618-2470345931 (Pratibha), 618-2470345932 (Ram) | Economy class | 2-piece baggage each</t>
  </si>
  <si>
    <t>Check in by 9:00 PM KTM</t>
  </si>
  <si>
    <t>Apr 23</t>
  </si>
  <si>
    <t>6:20 AM</t>
  </si>
  <si>
    <t>Arrive Singapore (transit)</t>
  </si>
  <si>
    <t>Changi Airport, Terminal 0 → Terminal 3</t>
  </si>
  <si>
    <t>2h 55m layover</t>
  </si>
  <si>
    <t>Connecting to SQ 032 at Terminal 3 | No visa needed for transit</t>
  </si>
  <si>
    <t>9:15 AM</t>
  </si>
  <si>
    <t>Depart Singapore → San Francisco (SQ 032)</t>
  </si>
  <si>
    <t>Changi Airport Terminal 3</t>
  </si>
  <si>
    <t>~15h 25m flight</t>
  </si>
  <si>
    <t>Singapore Airlines | Economy class | 2-piece baggage each | Crosses International Date Line — arrives same day</t>
  </si>
  <si>
    <t>9:40 AM</t>
  </si>
  <si>
    <t>Arrive San Francisco (SFO)</t>
  </si>
  <si>
    <t>SFO International Terminal I</t>
  </si>
  <si>
    <t>—</t>
  </si>
  <si>
    <t>Ram &amp; Pratibha arrive SFO ~11 days before main family trip departs May 4</t>
  </si>
  <si>
    <t>Arrange pickup from SFO</t>
  </si>
  <si>
    <t>AUSTIN TRIP — Dip Uncle's Daughter's Wedding</t>
  </si>
  <si>
    <t>Apr 24</t>
  </si>
  <si>
    <t>11:25 AM</t>
  </si>
  <si>
    <t>Fly SFO → Austin (WN #0358)</t>
  </si>
  <si>
    <t>SFO Airport</t>
  </si>
  <si>
    <t>3h 30m | arrives 4:55 PM</t>
  </si>
  <si>
    <t>Southwest Airlines | Conf: B9X9O6 | Pratibha Ticket: 5262130927350 | Ram Ticket: 5262130927351 | Total paid: $196.80 | Basic fare (1 carry-on + 1 personal item)</t>
  </si>
  <si>
    <t>Check in online 24 hrs before</t>
  </si>
  <si>
    <t>Apr 24–28</t>
  </si>
  <si>
    <t>Attend wedding &amp; stay in Austin</t>
  </si>
  <si>
    <t>Austin, TX</t>
  </si>
  <si>
    <t>4 nights</t>
  </si>
  <si>
    <t>Dip uncle's daughter's wedding event | Arrange accommodation in Austin</t>
  </si>
  <si>
    <t>Apr 28</t>
  </si>
  <si>
    <t>3:02 PM</t>
  </si>
  <si>
    <t>Fly Austin → San Francisco (DL 1077)</t>
  </si>
  <si>
    <t>Austin AUS, Terminal TBD</t>
  </si>
  <si>
    <t>3h 49m | arrives 4:51 PM</t>
  </si>
  <si>
    <t>Delta Airlines | Conf: HBMBJX | Ram eTicket: 0067365705380 | Pratibha eTicket: 0067365705381 | Delta Main Basic (E) | Airbus A319 | Nonstop</t>
  </si>
  <si>
    <t>Apr 28–May 3</t>
  </si>
  <si>
    <t>4:51 PM</t>
  </si>
  <si>
    <t>Back at SFO — rest &amp; prep before family trip</t>
  </si>
  <si>
    <t>San Francisco, CA</t>
  </si>
  <si>
    <t>~6 days</t>
  </si>
  <si>
    <t>Ram &amp; Pratibha have ~6 days at home before all fly SFO→BOS on May 4</t>
  </si>
  <si>
    <t>Confirm all packing, docs, visas</t>
  </si>
  <si>
    <t>Mon, May 4 — DEPARTURE DAY — SFO to Boston</t>
  </si>
  <si>
    <t>May 4</t>
  </si>
  <si>
    <t>8:45 PM</t>
  </si>
  <si>
    <t>Depart SFO → BOS (JetBlue)</t>
  </si>
  <si>
    <t>5h 42m flight</t>
  </si>
  <si>
    <t>Arrives 5:27 AM May 5. All 4 fly together (Astha joins from BOS). Pack carry-on for overnight.</t>
  </si>
  <si>
    <t>Check in online 24h before</t>
  </si>
  <si>
    <t>Tue May 5 — BOSTON → ROCHESTER (Driving Day)</t>
  </si>
  <si>
    <t>May 5</t>
  </si>
  <si>
    <t>5:27 AM</t>
  </si>
  <si>
    <t>Arrive Boston Logan (BOS)</t>
  </si>
  <si>
    <t>Boston, MA</t>
  </si>
  <si>
    <t>Clear baggage, freshen up</t>
  </si>
  <si>
    <t>6:00–7:00 AM</t>
  </si>
  <si>
    <t>Pick up rental car at BOS airport</t>
  </si>
  <si>
    <t>Logan Airport</t>
  </si>
  <si>
    <t>Book midsize SUV (4 people + luggage). Return location: BOS.</t>
  </si>
  <si>
    <t>Book rental car — pick up BOS, return BOS May 18</t>
  </si>
  <si>
    <t>7:00–7:30 AM</t>
  </si>
  <si>
    <t>Drive to Tufts University</t>
  </si>
  <si>
    <t>Medford, MA</t>
  </si>
  <si>
    <t>~20 min</t>
  </si>
  <si>
    <t>Pick up Astha. She should be packed and ready.</t>
  </si>
  <si>
    <t>Coordinate with Astha for pickup time</t>
  </si>
  <si>
    <t>7:30–8:15 AM</t>
  </si>
  <si>
    <t>Breakfast near Tufts / Somerville</t>
  </si>
  <si>
    <t>Somerville, MA</t>
  </si>
  <si>
    <t>Quick breakfast stop — Diner or Dunkin</t>
  </si>
  <si>
    <t>8:15 AM – 2:30 PM</t>
  </si>
  <si>
    <t>Drive Boston → Rochester, NY</t>
  </si>
  <si>
    <t>I-90 W / I-90 W / I-490</t>
  </si>
  <si>
    <t>~6 hrs</t>
  </si>
  <si>
    <t>392 miles. 1 rest stop around Syracuse. Lunch on the road.</t>
  </si>
  <si>
    <t>2:30–3:00 PM</t>
  </si>
  <si>
    <t>Check in to hotel/Airbnb</t>
  </si>
  <si>
    <t>Rochester, NY</t>
  </si>
  <si>
    <t>✓ Booked: HMT995PXZS (May 5–8, $600, 3 nights). Address: 157 Vassar Street, Rochester, NY 14607. Still need 1 night for May 8–9.</t>
  </si>
  <si>
    <t>✓ May 5–8 BOOKED (HMT995PXZS). Still need: Book May 8–9 (1 night)</t>
  </si>
  <si>
    <t>3:00 PM onward</t>
  </si>
  <si>
    <t>Rest &amp; settle in / explore Rochester</t>
  </si>
  <si>
    <t>Grocery run, light dinner. Catch up with old friends.</t>
  </si>
  <si>
    <t>Reach out to Rochester friends</t>
  </si>
  <si>
    <t>Wed, May 6 — PhD HOODING REHEARSAL + DAY TRIP</t>
  </si>
  <si>
    <t>May 6</t>
  </si>
  <si>
    <t>Morning</t>
  </si>
  <si>
    <t>Free morning — Day trip or leisure</t>
  </si>
  <si>
    <t>Rochester area</t>
  </si>
  <si>
    <t>Rehearsal not until 3 PM. Use morning for a day trip (see options below).</t>
  </si>
  <si>
    <t>Confirm event timing with RIT</t>
  </si>
  <si>
    <t>3:00–4:30 PM EDT</t>
  </si>
  <si>
    <t>PhD Hooding Ceremony (Rehearsal)</t>
  </si>
  <si>
    <t>NTID — Panara Theater, RIT</t>
  </si>
  <si>
    <t>~1.5 hrs</t>
  </si>
  <si>
    <t>Rehearsal for hooding ceremony. Be there 15 min early. Done by 4:30 PM.</t>
  </si>
  <si>
    <t>Rest of day</t>
  </si>
  <si>
    <t>OPTION A: Niagara Falls (morning trip)</t>
  </si>
  <si>
    <t>Niagara Falls, NY</t>
  </si>
  <si>
    <t>~1.5 hrs each way</t>
  </si>
  <si>
    <t>Leave ~8 AM, 4–5 hrs at Falls. Maid of the Mist, Cave of the Winds. Return by 2 PM for rehearsal.</t>
  </si>
  <si>
    <t>Check if passport needed for Canadian side</t>
  </si>
  <si>
    <t>OPTION B: Letchworth State Park (morning trip)</t>
  </si>
  <si>
    <t>Letchworth, NY</t>
  </si>
  <si>
    <t>~1 hr each way</t>
  </si>
  <si>
    <t>"Grand Canyon of the East." 3 waterfalls, gorge views. Half-day — leave 8 AM, back by 1 PM.</t>
  </si>
  <si>
    <t>Thu, May 7 — GRAD RECEPTION + DAY TRIP</t>
  </si>
  <si>
    <t>May 7</t>
  </si>
  <si>
    <t>Morning–Early PM</t>
  </si>
  <si>
    <t>Free morning — Day trip or catch up with friends</t>
  </si>
  <si>
    <t>Reception not until 4 PM. Use morning for day trip (whichever not done May 6), or Finger Lakes wine tasting, or soccer with friends.</t>
  </si>
  <si>
    <t>Plan dinner with friends</t>
  </si>
  <si>
    <t>4:00–6:30 PM EDT</t>
  </si>
  <si>
    <t>2026 Graduate Student Commencement Reception</t>
  </si>
  <si>
    <t>Crossroads, RIT</t>
  </si>
  <si>
    <t>~2.5 hrs</t>
  </si>
  <si>
    <t>Graduate student celebration reception. Arrive 15 min early. Done by 6:30 PM.</t>
  </si>
  <si>
    <t>After 6:30 PM</t>
  </si>
  <si>
    <t>Dinner with old friends / soccer game</t>
  </si>
  <si>
    <t>Reception ends 6:30 PM. Late dinner/hangout with friends, or soccer earlier in the day before reception.</t>
  </si>
  <si>
    <t>Organize soccer game</t>
  </si>
  <si>
    <t>Fri, May 8 — DOCTORAL HOODING + GCCIS RECEPTION</t>
  </si>
  <si>
    <t>May 8</t>
  </si>
  <si>
    <t>Free morning — last chance to explore Rochester</t>
  </si>
  <si>
    <t>Hooding not until 1:30 PM. Light morning — pack if checking out next day.</t>
  </si>
  <si>
    <t>Confirm ceremony time, venue, guest tickets</t>
  </si>
  <si>
    <t>1:30–3:00 PM EDT</t>
  </si>
  <si>
    <t>Doctoral Hooding Ceremony</t>
  </si>
  <si>
    <t>Main hooding ceremony! Dress formal. Arrive 30 min early. Done by 3:00 PM.</t>
  </si>
  <si>
    <t>Make restaurant reservation</t>
  </si>
  <si>
    <t>2026 GCCIS Ph.D. Graduates' Reception</t>
  </si>
  <si>
    <t>082-ENT-1130 McGowan Commons, RIT</t>
  </si>
  <si>
    <t>GCCIS department-specific PhD celebration. Right after hooding. Done by 4:30 PM.</t>
  </si>
  <si>
    <t>Evening</t>
  </si>
  <si>
    <t>Celebration dinner 🎓</t>
  </si>
  <si>
    <t>Rochester</t>
  </si>
  <si>
    <t>Nice restaurant. Celebrate the big day! Book ahead for 4+ people.</t>
  </si>
  <si>
    <t>Sat, May 9 — COMMENCEMENT + DEPART ROCHESTER → NJ TEMPLE</t>
  </si>
  <si>
    <t>May 9</t>
  </si>
  <si>
    <t>9:00 AM–12:30 PM EDT</t>
  </si>
  <si>
    <t>Golisano Commencement Ceremony I — CS &amp; Cybersecurity</t>
  </si>
  <si>
    <t>Gordon Field House, RIT</t>
  </si>
  <si>
    <t>~3.5 hrs</t>
  </si>
  <si>
    <t>Golisano College commencement — Computer Science &amp; Cybersecurity. Arrive 30 min early. Done by 12:30 PM.</t>
  </si>
  <si>
    <t>~1:00 PM</t>
  </si>
  <si>
    <t>Check out Rochester — Depart for NJ</t>
  </si>
  <si>
    <t>Ceremony ends 12:30 PM. Pack car, check out. Grab lunch on the road. Arrive NJ by ~6:30 PM.</t>
  </si>
  <si>
    <t>1:00–6:30 PM</t>
  </si>
  <si>
    <t>Drive Rochester → Robbinsville, NJ</t>
  </si>
  <si>
    <t>I-390 S / I-81 S / I-78 E</t>
  </si>
  <si>
    <t>~5–5.5 hrs</t>
  </si>
  <si>
    <t>~310 miles. Optional stop at Watkins Glen en route (30 min detour).</t>
  </si>
  <si>
    <t>6:30–7:30 PM</t>
  </si>
  <si>
    <t>Visit BAPS Akshardham Temple</t>
  </si>
  <si>
    <t>Robbinsville, NJ</t>
  </si>
  <si>
    <t>~2 hrs</t>
  </si>
  <si>
    <t>Open until 7:30 PM. Tight window (~1 hr) if arriving 6:30 PM — could also visit May 10 morning instead. Reserve online. Dress modestly. Ram &amp; Pratibha will love this!</t>
  </si>
  <si>
    <t>Reserve temple visit online at baps.org</t>
  </si>
  <si>
    <t>Drive to NYC area / stay near NJ</t>
  </si>
  <si>
    <t>NYC / NJ</t>
  </si>
  <si>
    <t>~1 hr to NYC</t>
  </si>
  <si>
    <t>Coordinate with Ajit uncle / Book NJ hotel</t>
  </si>
  <si>
    <t>Sun, May 10 — NYC / UNCLE VISIT + SIGHTSEEING</t>
  </si>
  <si>
    <t>May 10</t>
  </si>
  <si>
    <t>All day</t>
  </si>
  <si>
    <t>NYC sightseeing + visit Ajit uncle</t>
  </si>
  <si>
    <t>New York City</t>
  </si>
  <si>
    <t>~3–4 hrs</t>
  </si>
  <si>
    <t>Times Square, Central Park, Statue of Liberty, etc. Quality time with Ajit uncle. Stay at Ajit uncle's or NYC hotel.</t>
  </si>
  <si>
    <t>Coordinate with Ajit uncle</t>
  </si>
  <si>
    <t>Drive NYC → Boston area (or stay another night)</t>
  </si>
  <si>
    <t>I-95 N</t>
  </si>
  <si>
    <t>~4 hrs</t>
  </si>
  <si>
    <t>Or stay another night in NYC and drive May 11 morning.</t>
  </si>
  <si>
    <t>Mon, May 11 — DRIVE TO BOSTON / SUNITA AUNTY (Fall River)</t>
  </si>
  <si>
    <t>May 11</t>
  </si>
  <si>
    <t>If in NYC: drive to Boston (~4 hrs)</t>
  </si>
  <si>
    <t>Arrive Boston by early afternoon.</t>
  </si>
  <si>
    <t>Afternoon</t>
  </si>
  <si>
    <t>Visit Sunita aunty at Fall River, MA</t>
  </si>
  <si>
    <t>Fall River, MA</t>
  </si>
  <si>
    <t>~1 hr from Boston</t>
  </si>
  <si>
    <t>Stay the night at Sunita aunty's house.</t>
  </si>
  <si>
    <t>Coordinate with Sunita aunty for visit/stay</t>
  </si>
  <si>
    <t>Astha returns to Tufts</t>
  </si>
  <si>
    <t>Drop Astha at Tufts — her graduation week starts.</t>
  </si>
  <si>
    <t>Tue-Wed, May 12–13 — DC TRIP (2-Day Option)</t>
  </si>
  <si>
    <t>May 12</t>
  </si>
  <si>
    <t>Boston → Washington DC</t>
  </si>
  <si>
    <t>Amtrak / I-95 S / Flight</t>
  </si>
  <si>
    <t>~6.5–7.5 hrs</t>
  </si>
  <si>
    <t>Options: Amtrak NE Regional from South Station (~7.5 hrs, ~$50–110/pp) or Acela (~6.5 hrs, ~$100–200/pp). Also: drive ~7.5 hrs or fly ~1.5 hrs. Train = scenic, no car hassle in DC (use Metro).</t>
  </si>
  <si>
    <t>Book Amtrak tickets BOS→DC early for best price</t>
  </si>
  <si>
    <t>Afternoon/Eve</t>
  </si>
  <si>
    <t>DC sightseeing — National Mall</t>
  </si>
  <si>
    <t>Washington, DC</t>
  </si>
  <si>
    <t>Lincoln Memorial, Washington Monument, Capitol. Evening: Georgetown.</t>
  </si>
  <si>
    <t>Book DC hotel for 1 night</t>
  </si>
  <si>
    <t>May 13</t>
  </si>
  <si>
    <t>More DC sightseeing — Smithsonian museums</t>
  </si>
  <si>
    <t>Air &amp; Space Museum, Natural History. All free!</t>
  </si>
  <si>
    <t>DC → Boston (return)</t>
  </si>
  <si>
    <t>Amtrak / I-95 N / Flight</t>
  </si>
  <si>
    <t>Amtrak NE Regional (~7.5 hrs, ~$50–110/pp) or Acela (~6.5 hrs, ~$100–200/pp). Depart Union Station ~2–3 PM, arrive Boston ~9–10 PM. Or fly ~1.5 hrs.</t>
  </si>
  <si>
    <t>Book Amtrak tickets DC→BOS</t>
  </si>
  <si>
    <t>Thurs, May 14 — REST / BOSTON + DROP RAM &amp; PRATIBHA AT SUNITA AUNTY'S</t>
  </si>
  <si>
    <t>May 14</t>
  </si>
  <si>
    <t>Morning–Afternoon</t>
  </si>
  <si>
    <t>Explore Boston / Rest day</t>
  </si>
  <si>
    <t>Freedom Trail, Faneuil Hall, Harvard/MIT campus walk. Rest before colleague's graduation ceremony trip.</t>
  </si>
  <si>
    <t>Drive to Fall River — drop Ram &amp; Pratibha at Sunita aunty's</t>
  </si>
  <si>
    <t>~1 hr</t>
  </si>
  <si>
    <t>Parents stay at Sunita aunty's while you drive to CT for the work conference. Pack overnight bag.</t>
  </si>
  <si>
    <t>Confirm with Sunita aunty for 2-night stay (May 14–16)</t>
  </si>
  <si>
    <t>Fri, May 15 — WORK CONFERENCE (West Haven, CT)</t>
  </si>
  <si>
    <t>May 15</t>
  </si>
  <si>
    <t>5:00–6:00 AM</t>
  </si>
  <si>
    <t>Drive Fall River → West Haven, CT</t>
  </si>
  <si>
    <t>I-195 W / I-95 S</t>
  </si>
  <si>
    <t>Leave early morning from Sunita aunty's. ~130 miles. Arrive by ~8:30 AM.</t>
  </si>
  <si>
    <t>Confirm work conference schedule and venue</t>
  </si>
  <si>
    <t>As scheduled</t>
  </si>
  <si>
    <t>Attend work conference sessions</t>
  </si>
  <si>
    <t>West Haven, CT</t>
  </si>
  <si>
    <t>Full day of conference sessions and networking. University of New Haven Conference Center.</t>
  </si>
  <si>
    <t>Stay overnight in West Haven / New Haven area</t>
  </si>
  <si>
    <t>Dinner with conference colleagues. New Haven has great spots — Frank Pepe's, Sally's.</t>
  </si>
  <si>
    <t>Book 1-night hotel/Airbnb in West Haven/New Haven</t>
  </si>
  <si>
    <t>Sat, May 16 — RETURN TO BOSTON / PICK UP PARENTS</t>
  </si>
  <si>
    <t>May 16</t>
  </si>
  <si>
    <t>Drive West Haven → Fall River (pick up Ram &amp; Pratibha)</t>
  </si>
  <si>
    <t>I-95 N / I-195 E</t>
  </si>
  <si>
    <t>Drive directly to Fall River to pick up parents from Sunita aunty's. Arrive by evening.</t>
  </si>
  <si>
    <t>Dinner with Sunita aunty / drive to Boston</t>
  </si>
  <si>
    <t>Fall River / Boston</t>
  </si>
  <si>
    <t>~1 hr to Boston</t>
  </si>
  <si>
    <t>Spend evening with Sunita aunty or head back to Boston. Prep for Astha's graduation next day.</t>
  </si>
  <si>
    <t>Sun, May 17 — ASTHA'S GRADUATION (Tufts) + SUNITA AUNTY VISIT</t>
  </si>
  <si>
    <t>May 17</t>
  </si>
  <si>
    <t>Until 5:00 PM</t>
  </si>
  <si>
    <t>Astha's graduation event at Tufts</t>
  </si>
  <si>
    <t>Tufts University, Medford</t>
  </si>
  <si>
    <t>~Full day</t>
  </si>
  <si>
    <t>Attend Astha's graduation ceremony and celebrations. Event ends ~5 PM. Whole family present!</t>
  </si>
  <si>
    <t>Confirm Astha's graduation timing</t>
  </si>
  <si>
    <t>After 5:00 PM</t>
  </si>
  <si>
    <t>Visit Sunita aunty at Fall River (optional)</t>
  </si>
  <si>
    <t>Evening visit / stay night before flight. Say goodbye to Sunita aunty. Or head back to Boston.</t>
  </si>
  <si>
    <t>Mon, May 18 — DEPARTURE DAY — BOS to SFO</t>
  </si>
  <si>
    <t>May 18</t>
  </si>
  <si>
    <t>Return rental car at BOS airport</t>
  </si>
  <si>
    <t>Return car. Allow 2+ hrs before flight for car return + security.</t>
  </si>
  <si>
    <t>Rental car for ~13 days (May 5–18)</t>
  </si>
  <si>
    <t>8:21 PM</t>
  </si>
  <si>
    <t>Depart BOS → SFO (JetBlue)</t>
  </si>
  <si>
    <t>BOS Airport</t>
  </si>
  <si>
    <t>6h 38m flight</t>
  </si>
  <si>
    <t>Arrives 11:59 PM SFO (same day, PDT).</t>
  </si>
  <si>
    <t>11:59 PM</t>
  </si>
  <si>
    <t>Arrive SFO</t>
  </si>
  <si>
    <t>San Francisco</t>
  </si>
  <si>
    <t>All 4 arrive SFO. Astha flies back SFO → BOS around June 20 (round-trip BOS↔SFO).</t>
  </si>
  <si>
    <t>Book Astha's round-trip BOS→SFO→BOS (outbound May 18, return ~June 20)</t>
  </si>
  <si>
    <t>POST-TRIP: RAM &amp; PRATIBHA — RETURN TO NEPAL (JUNE 17–19, 2026)</t>
  </si>
  <si>
    <t>Jun 17</t>
  </si>
  <si>
    <t>11:30 AM</t>
  </si>
  <si>
    <t>Depart SFO → Singapore (SQ 031)</t>
  </si>
  <si>
    <t>SFO Terminal I</t>
  </si>
  <si>
    <t>~16h 40m flight</t>
  </si>
  <si>
    <t>Singapore Airlines | Booking Ref: DPSOSL | Economy class | 2-piece baggage each</t>
  </si>
  <si>
    <t>Jun 18</t>
  </si>
  <si>
    <t>7:10 PM</t>
  </si>
  <si>
    <t>Arrive Singapore (long transit)</t>
  </si>
  <si>
    <t>Changi Airport Terminal 0</t>
  </si>
  <si>
    <t>~23h 45m layover</t>
  </si>
  <si>
    <t>Long overnight layover in Singapore — may need transit hotel at Changi</t>
  </si>
  <si>
    <t>Check Singapore transit visa rules / consider Changi transit hotel</t>
  </si>
  <si>
    <t>Jun 19</t>
  </si>
  <si>
    <t>6:55 PM</t>
  </si>
  <si>
    <t>Depart Singapore → Kathmandu (SQ 442)</t>
  </si>
  <si>
    <t>Changi Airport Terminal 2</t>
  </si>
  <si>
    <t>~4h 50m flight</t>
  </si>
  <si>
    <t>Singapore Airlines | Economy class</t>
  </si>
  <si>
    <t>9:45 PM</t>
  </si>
  <si>
    <t>Arrive Kathmandu (KTM)</t>
  </si>
  <si>
    <t>Tribhuvan Airport, Terminal I</t>
  </si>
  <si>
    <t>Ram &amp; Pratibha arrive home in Nepal ✓ Trip complete!</t>
  </si>
  <si>
    <t>KEY DRIVING DISTANCES &amp; TIMES</t>
  </si>
  <si>
    <t>From</t>
  </si>
  <si>
    <t>To</t>
  </si>
  <si>
    <t>Miles</t>
  </si>
  <si>
    <t>Notes</t>
  </si>
  <si>
    <t>Boston Logan Airport</t>
  </si>
  <si>
    <t>Tufts University (Medford)</t>
  </si>
  <si>
    <t>Short hop on I-93</t>
  </si>
  <si>
    <t>Via I-90 W (Mass Pike → NYS Thruway)</t>
  </si>
  <si>
    <t>Via I-90 W</t>
  </si>
  <si>
    <t>Letchworth State Park</t>
  </si>
  <si>
    <t>Via I-390 S</t>
  </si>
  <si>
    <t>Watkins Glen, NY</t>
  </si>
  <si>
    <t>Finger Lakes — gorge trail</t>
  </si>
  <si>
    <t>Seneca Lake Wine Trail</t>
  </si>
  <si>
    <t>~1.25 hrs</t>
  </si>
  <si>
    <t>Wine tasting route</t>
  </si>
  <si>
    <t>Robbinsville, NJ (BAPS)</t>
  </si>
  <si>
    <t>Via I-390 S → I-81 S → I-78 E</t>
  </si>
  <si>
    <t>NYC</t>
  </si>
  <si>
    <t>Via I-90 E → I-87 S</t>
  </si>
  <si>
    <t>Via I-390 → I-99 → I-81</t>
  </si>
  <si>
    <t>~1–1.5 hrs</t>
  </si>
  <si>
    <t>Via NJ Turnpike</t>
  </si>
  <si>
    <t>Via I-95 S</t>
  </si>
  <si>
    <t>Via I-95 N</t>
  </si>
  <si>
    <t>Visit Sunita aunty</t>
  </si>
  <si>
    <t>~7.5 hrs</t>
  </si>
  <si>
    <t>Via I-95 S — consider Amtrak or flight</t>
  </si>
  <si>
    <t>Via I-195 W / I-95 S — work conference trip</t>
  </si>
  <si>
    <t>Via I-95 S — direct from Boston to work conference</t>
  </si>
  <si>
    <t>Via I-95 N / I-195 E — return from colleague's graduation ceremony to pick up parents</t>
  </si>
  <si>
    <t>ROUTE OPTIONS: Rochester → Boston (May 9–13)</t>
  </si>
  <si>
    <t>After graduation, you have ~4 days before needing to be in Boston. Here are 3 route options:</t>
  </si>
  <si>
    <t>Option A: NJ Temple + NYC + DC</t>
  </si>
  <si>
    <t>Option B: NYC + DC (skip NJ temple)</t>
  </si>
  <si>
    <t>Option C: Direct to Boston + DC by train/flight</t>
  </si>
  <si>
    <t>May 9 (Sat)</t>
  </si>
  <si>
    <t>Ceremony I 9 AM–12:30 PM. Depart ~1 PM. Drive to NJ (~5.5 hrs). Arrive ~6:30 PM. Visit BAPS Temple (6:30–7:30 PM, tight). Stay NJ/NYC.</t>
  </si>
  <si>
    <t>Ceremony I 9 AM–12:30 PM. Depart ~1 PM. Drive to NYC (~6 hrs). Arrive ~7 PM. Visit Ajit uncle + dinner. Stay NYC.</t>
  </si>
  <si>
    <t>Ceremony I 9 AM–12:30 PM. Depart ~1 PM. Drive to Boston (~6 hrs). Arrive ~7 PM. Stay Boston.</t>
  </si>
  <si>
    <t>May 10 (Sun)</t>
  </si>
  <si>
    <t>NYC sightseeing + visit Ajit uncle. Full day free since temple done May 9 evening. Stay NYC.</t>
  </si>
  <si>
    <t>NYC sightseeing (Statue of Liberty, Central Park, etc) + visit Ajit uncle. Stay NYC.</t>
  </si>
  <si>
    <t>Rest day in Boston / explore. Or day trip to Sunita aunty (Fall River).</t>
  </si>
  <si>
    <t>May 11 (Sun)</t>
  </si>
  <si>
    <t>Drive NYC → Boston (~4 hrs). Drop Astha at Tufts. Visit Sunita aunty at Fall River. Stay at Sunita aunty's.</t>
  </si>
  <si>
    <t>Visit Sunita aunty (Fall River). Drop Astha at Tufts. Stay Boston.</t>
  </si>
  <si>
    <t>May 12 (Mon)</t>
  </si>
  <si>
    <t>Boston → DC. Options: (1) Amtrak Northeast Regional ~7.5 hrs, ~$50–110/pp (2) Amtrak Acela ~6.5 hrs, ~$100–200/pp (3) Drive ~7.5 hrs (4) Fly ~1.5 hrs, ~$100–250/pp. Train = scenic, no car hassle in DC. Depart Boston South Station AM, arrive DC Union Station by afternoon. DC sightseeing PM. Stay DC.</t>
  </si>
  <si>
    <t>Boston → DC. Options: (1) Amtrak Northeast Regional ~7.5 hrs, ~$50–110/pp (2) Amtrak Acela ~6.5 hrs, ~$100–200/pp (3) Drive ~7.5 hrs (4) Fly ~1.5 hrs. Train is relaxed, scenic NE Corridor. Depart South Station AM. DC sightseeing PM. Stay DC.</t>
  </si>
  <si>
    <t>Boston → DC. Amtrak recommended: Northeast Regional ~7.5 hrs, ~$50–110/pp or Acela ~6.5 hrs, ~$100–200/pp. No car = easy Metro in DC. Depart South Station early AM. Full day DC sightseeing. Stay DC.</t>
  </si>
  <si>
    <t>May 13 (Tue)</t>
  </si>
  <si>
    <t>DC sightseeing AM. DC → Boston PM. Options: (1) Amtrak NE Regional ~7.5 hrs, ~$50–110/pp (2) Acela ~6.5 hrs, ~$100–200/pp (3) Drive ~7.5 hrs (4) Fly ~1.5 hrs. Arrive Boston evening.</t>
  </si>
  <si>
    <t>DC sightseeing AM. DC → Boston PM. Options: (1) Amtrak NE Regional ~7.5 hrs (2) Acela ~6.5 hrs (3) Drive ~7.5 hrs (4) Fly ~1.5 hrs. Arrive Boston evening.</t>
  </si>
  <si>
    <t>DC sightseeing AM. DC → Boston PM. Amtrak NE Regional ~7.5 hrs or Acela ~6.5 hrs. Depart Union Station ~2–3 PM, arrive Boston ~9–10 PM.</t>
  </si>
  <si>
    <t>PROS</t>
  </si>
  <si>
    <t>Parents see the temple. Covers all destinations. Ajit uncle visit fits naturally. Amtrak to DC = relaxed, scenic.</t>
  </si>
  <si>
    <t>Less driving. More NYC time. Ajit uncle visit covered. Amtrak to DC avoids more driving fatigue.</t>
  </si>
  <si>
    <t>Least driving stress. Amtrak to DC is ideal — no car needed, Metro covers everything in DC.</t>
  </si>
  <si>
    <t>CONS</t>
  </si>
  <si>
    <t>Most driving overall. But noon departure makes temple visit same evening viable.</t>
  </si>
  <si>
    <t>Skips NJ temple (can visit another trip?). Still a lot of driving.</t>
  </si>
  <si>
    <t>Misses NJ temple &amp; NYC uncle. Need to plan uncle visit separately. But least stressful.</t>
  </si>
  <si>
    <t>Total Drive</t>
  </si>
  <si>
    <t>~16.5 hrs driving (Rochester→NJ→NYC→Boston) + DC by Amtrak (~7.5 hrs RT) or drive/fly</t>
  </si>
  <si>
    <t>~14 hrs driving (Rochester→NYC→Boston) + DC by Amtrak (~7.5 hrs RT) or drive/fly</t>
  </si>
  <si>
    <t>~6 hrs driving + DC by Amtrak (~15 hrs RT) or 2 flights</t>
  </si>
  <si>
    <t>BOOKING &amp; ACTION ITEMS CHECKLIST</t>
  </si>
  <si>
    <t>#</t>
  </si>
  <si>
    <t>Item</t>
  </si>
  <si>
    <t>Category</t>
  </si>
  <si>
    <t>Details</t>
  </si>
  <si>
    <t>Status</t>
  </si>
  <si>
    <t>Book JetBlue flights — Ayush + Ram + Pratibha</t>
  </si>
  <si>
    <t>Flights</t>
  </si>
  <si>
    <t>3 round-trip SFO→BOS May 4 8:45 PM; BOS→SFO May 18 8:21 PM.</t>
  </si>
  <si>
    <t>Book Astha round-trip BOS↔SFO</t>
  </si>
  <si>
    <t>BOS→SFO ~May 3–4 (to join family). Return SFO→BOS ~June 20.</t>
  </si>
  <si>
    <t>Book rental car at BOS Logan</t>
  </si>
  <si>
    <t>Car Rental</t>
  </si>
  <si>
    <t>Pickup: May 5 ~6 AM. Return: May 18 ~5 PM. Midsize SUV for 4+luggage. ~13 days.</t>
  </si>
  <si>
    <t>Book Rochester Airbnb/hotel (4 ppl)</t>
  </si>
  <si>
    <t>Accommodation</t>
  </si>
  <si>
    <t>May 5–8: BOOKED ✓ (HMT995PXZS, $600, 3 nights) — 157 Vassar Street, Rochester, NY 14607. May 8–9: STILL NEED TO BOOK (1 night).</t>
  </si>
  <si>
    <t>✓ BOOKED: HMT995PXZS (May 5–8, $600) — 157 Vassar St, Rochester NY 14607. May 8–9 still needed.</t>
  </si>
  <si>
    <t>Book NJ/NYC hotel (1–2 nights)</t>
  </si>
  <si>
    <t>May 9–10 or May 10–11. Near Ajit uncle's place or Robbinsville.</t>
  </si>
  <si>
    <t>Book DC hotel (1 night)</t>
  </si>
  <si>
    <t>May 12. Near National Mall.</t>
  </si>
  <si>
    <t>Book Boston area stay (May 11–18)</t>
  </si>
  <si>
    <t>Stay with Sunita aunty at Fall River some nights. Hotel for rest.</t>
  </si>
  <si>
    <t>Reserve BAPS Temple visit online</t>
  </si>
  <si>
    <t>Activities</t>
  </si>
  <si>
    <t>baps.org — free but reservation required on weekends. Open 9 AM–7:30 PM. Closed Tuesdays.</t>
  </si>
  <si>
    <t>Confirm RIT grad events schedule</t>
  </si>
  <si>
    <t>Graduation</t>
  </si>
  <si>
    <t>May 6, 7 event times. May 8 convocation time/venue/guest tickets.</t>
  </si>
  <si>
    <t>Confirm work conference details</t>
  </si>
  <si>
    <t>Work</t>
  </si>
  <si>
    <t>May 15 — West Haven, CT. Confirm session times, venue, and any registration. Book 1-night hotel nearby.</t>
  </si>
  <si>
    <t>Confirm Astha's Tufts graduation</t>
  </si>
  <si>
    <t>May 17 — time, venue.</t>
  </si>
  <si>
    <t>Coordinate with Ajit uncle (NYC)</t>
  </si>
  <si>
    <t>Family</t>
  </si>
  <si>
    <t>Dates for visit — likely May 9–10.</t>
  </si>
  <si>
    <t>Coordinate with Sunita aunty (Fall River)</t>
  </si>
  <si>
    <t>Stay dates — likely May 11 and/or May 17 night.</t>
  </si>
  <si>
    <t>Social</t>
  </si>
  <si>
    <t>Dinner, soccer game — likely May 5, 6, or 7 evening.</t>
  </si>
  <si>
    <t>Check passport status (all travelers)</t>
  </si>
  <si>
    <t>Travel Docs</t>
  </si>
  <si>
    <t>Needed if visiting Canadian side of Niagara Falls.</t>
  </si>
  <si>
    <t>Book Niagara Falls activities</t>
  </si>
  <si>
    <t>Maid of the Mist tickets, Cave of the Winds — book ahead in May.</t>
  </si>
  <si>
    <t>Restaurant reservation (May 8)</t>
  </si>
  <si>
    <t>Dining</t>
  </si>
  <si>
    <t>Celebration dinner after convocation. 4+ people.</t>
  </si>
  <si>
    <t>Pack appropriate temple attire</t>
  </si>
  <si>
    <t>Packing</t>
  </si>
  <si>
    <t>Cover shoulders and knees for BAPS temple. All visitors.</t>
  </si>
  <si>
    <t>Book West Haven/New Haven hotel (1 night)</t>
  </si>
  <si>
    <t>May 15 night for colleague's graduation ceremony in West Haven, CT.</t>
  </si>
  <si>
    <t>Confirm Sunita aunty stay (May 14–16)</t>
  </si>
  <si>
    <t>Ram &amp; Pratibha stay at Sunita aunty's while Ayush drives to CT. 2 nights.</t>
  </si>
  <si>
    <t>Book Amtrak tickets Boston ↔ DC (round-trip)</t>
  </si>
  <si>
    <t>Transportation</t>
  </si>
  <si>
    <t>May 12 BOS→DC + May 13 DC→BOS. NE Regional (~$50–110/pp, ~7.5 hrs) or Acela (~$100–200/pp, ~6.5 hrs). Book early. South Station ↔ Union Station.</t>
  </si>
  <si>
    <t>Parents Nepal → SFO (Singapore Airlines)</t>
  </si>
  <si>
    <t>KTM→SIN SQ441 Apr 22 23:00 | SIN→SFO SQ032 Apr 23 09:15. Booking Ref: DPSOSL. Pratibha Ticket: 618-2470345931, Ram Ticket: 618-2470345932</t>
  </si>
  <si>
    <t>✓ BOOKED (DPSOSL)</t>
  </si>
  <si>
    <t>Parents SFO → Austin, TX (Southwest)</t>
  </si>
  <si>
    <t>WN #0358, Apr 24, SFO 11:25 AM → AUS 4:55 PM. Conf: B9X9O6. Pratibha Ticket: 5262130927350, Ram Ticket: 5262130927351. Paid: $196.80</t>
  </si>
  <si>
    <t>✓ BOOKED (B9X9O6)</t>
  </si>
  <si>
    <t>Parents Austin → SFO (Delta)</t>
  </si>
  <si>
    <t>DL1077, Apr 28, AUS 3:02 PM → SFO 4:51 PM. Conf: HBMBJX. Ram eTicket: 0067365705380, Pratibha eTicket: 0067365705381</t>
  </si>
  <si>
    <t>✓ BOOKED (HBMBJX)</t>
  </si>
  <si>
    <t>Parents SFO → Nepal return (Singapore Airlines)</t>
  </si>
  <si>
    <t>SFO→SIN SQ031 Jun 17 11:30 | SIN→KTM SQ442 Jun 19 18:55. Booking Ref: DPSOSL. Pratibha Ticket: 618-2470345931, Ram Ticket: 618-2470345932</t>
  </si>
  <si>
    <t>Book Austin accommodation (4 nights, Apr 24–28)</t>
  </si>
  <si>
    <t>Ram &amp; Pratibha in Austin for Dip uncle's daughter's wedding. Apr 24–28.</t>
  </si>
  <si>
    <t>Needs booking</t>
  </si>
  <si>
    <t>ESTIMATED BUDGET BREAKDOWN</t>
  </si>
  <si>
    <t>Low Estimate</t>
  </si>
  <si>
    <t>High Estimate</t>
  </si>
  <si>
    <t>Flights (3 round trips SFO↔BOS)</t>
  </si>
  <si>
    <t>Ayush + Ram + Pratibha. 3 × $300–600 RT per person.</t>
  </si>
  <si>
    <t>Astha round-trip BOS↔SFO↔BOS</t>
  </si>
  <si>
    <t>Round-trip: BOS→SFO ~May 3–4 (join family) + SFO→BOS ~June 20 (return to Tufts). ~$300–600 RT.</t>
  </si>
  <si>
    <t>Rental car (13 days, midsize SUV)</t>
  </si>
  <si>
    <t>Book early. Include insurance. Unlimited miles.</t>
  </si>
  <si>
    <t>Gas (~3,000 miles total driving)</t>
  </si>
  <si>
    <t>Full trip: Boston→Rochester→day trips→NJ→NYC→Boston→DC RT→CT RT + local. ~28 MPG SUV, ~$3.50–$4.00/gal.</t>
  </si>
  <si>
    <t>Tolls (NYS Thruway, NJ Turnpike, etc)</t>
  </si>
  <si>
    <t>E-ZPass recommended.</t>
  </si>
  <si>
    <t>Rochester lodging (4 nights)</t>
  </si>
  <si>
    <t>May 5–8: $600 CONFIRMED (Conf: HMT995PXZS). May 8–9 (1 night) still to book (~$150-200).</t>
  </si>
  <si>
    <t>West Haven CT hotel (1 night — work conference)</t>
  </si>
  <si>
    <t>May 15 night near West Haven/New Haven for work conference.</t>
  </si>
  <si>
    <t>DC hotel (1 night)</t>
  </si>
  <si>
    <t>Budget hotel near Metro.</t>
  </si>
  <si>
    <t>Food &amp; dining (14 days, 4 people)</t>
  </si>
  <si>
    <t>~$50-100/day for group. Mix of cooking &amp; eating out.</t>
  </si>
  <si>
    <t>Amtrak Boston ↔ DC (RT, 4 people)</t>
  </si>
  <si>
    <t>NE Regional ~$50–110/pp or Acela ~$100–200/pp. Round-trip × 4 people. If driving instead, this is $0 (gas already budgeted).</t>
  </si>
  <si>
    <t>Activities (Niagara, museums, etc)</t>
  </si>
  <si>
    <t>Many DC museums free. Niagara activities ~$25-40/pp.</t>
  </si>
  <si>
    <t>Miscellaneous</t>
  </si>
  <si>
    <t>Parking, tips, souvenirs.</t>
  </si>
  <si>
    <t>Parents Nepal ↔ USA flights (Singapore Airlines, RT × 2 pax)</t>
  </si>
  <si>
    <t>Ram &amp; Pratibha. KTM→SFO Apr 22–23 (SQ441/SQ032, Ref: DPSOSL) + SFO→KTM Jun 17–19 (SQ031/SQ442). Already purchased.</t>
  </si>
  <si>
    <t>Parents SFO ↔ Austin, TX — Southwest + Delta (2 pax)</t>
  </si>
  <si>
    <t>Southwest WN#0358 SFO→AUS Apr 24 ($196.80 paid, Conf B9X9O6) + Delta DL1077 AUS→SFO Apr 28 (Conf HBMBJX). Delta price TBD.</t>
  </si>
  <si>
    <t>ESTIMATED TOTAL</t>
  </si>
  <si>
    <t>ASTHA'S TRAVEL DETAILS</t>
  </si>
  <si>
    <t>Outbound flight</t>
  </si>
  <si>
    <t>May 4: BOS → SFO (flies to SFO to join family, then all 4 fly SFO → BOS together)</t>
  </si>
  <si>
    <t>Travels with family</t>
  </si>
  <si>
    <t>May 5–11: Rochester + road trip with family</t>
  </si>
  <si>
    <t>Returns to Tufts</t>
  </si>
  <si>
    <t>May 11: Dropped at Tufts for her graduation week</t>
  </si>
  <si>
    <t>Her graduation week</t>
  </si>
  <si>
    <t>May 11–17: Busy with Tufts graduation events</t>
  </si>
  <si>
    <t>Her graduation event</t>
  </si>
  <si>
    <t>May 17 (Saturday) — ends ~5:00 PM</t>
  </si>
  <si>
    <t>Flies home with family</t>
  </si>
  <si>
    <t>May 18: All 4 fly BOS → SFO together</t>
  </si>
  <si>
    <t>Return flight needed</t>
  </si>
  <si>
    <t>SFO → BOS around June 20 (back to Tufts/Boston)</t>
  </si>
  <si>
    <t>ACTION</t>
  </si>
  <si>
    <t>Book Astha round-trip BOS↔SFO. Outbound ~May 3–4, return ~June 20.</t>
  </si>
  <si>
    <t>Note</t>
  </si>
  <si>
    <t>3 travelers (Ayush + Ram + Pratibha) book RT SFO↔BOS. Astha books RT BOS↔SFO (opposite direction).</t>
  </si>
  <si>
    <t>PARENTS' INTERNATIONAL FLIGHT DETAILS — Ram Adhar Sah &amp; Pratibha Shah</t>
  </si>
  <si>
    <t>Airline: Singapore Airlines  |  Booking Ref: DPSOSL  |  Issued: 06 Nov 2025  |  Agent: Rupse Holidays Pvt Ltd, Kathmandu</t>
  </si>
  <si>
    <t>Leg</t>
  </si>
  <si>
    <t>Flight</t>
  </si>
  <si>
    <t>Departure</t>
  </si>
  <si>
    <t>Arrival</t>
  </si>
  <si>
    <t>Class</t>
  </si>
  <si>
    <t>Baggage</t>
  </si>
  <si>
    <t>Nepal → SFO (Leg 1)</t>
  </si>
  <si>
    <t>SQ 441</t>
  </si>
  <si>
    <t>Kathmandu KTM (T-I)</t>
  </si>
  <si>
    <t>Wed, 22 Apr 2026  23:00</t>
  </si>
  <si>
    <t>Singapore SIN (Changi)</t>
  </si>
  <si>
    <t>Thu, 23 Apr 2026  06:20</t>
  </si>
  <si>
    <t>Economy (N)</t>
  </si>
  <si>
    <t>2 pieces</t>
  </si>
  <si>
    <t>Confirmed</t>
  </si>
  <si>
    <t>Pratibha: 618-2470345931 | Ram: 618-2470345932</t>
  </si>
  <si>
    <t>Nepal → SFO (Leg 2)</t>
  </si>
  <si>
    <t>SQ 032</t>
  </si>
  <si>
    <t>Singapore SIN (T-3)</t>
  </si>
  <si>
    <t>Thu, 23 Apr 2026  09:15</t>
  </si>
  <si>
    <t>San Francisco SFO (T-I)</t>
  </si>
  <si>
    <t>Thu, 23 Apr 2026  09:40*</t>
  </si>
  <si>
    <t>*Crosses Int'l Date Line — same local date despite 16h flight</t>
  </si>
  <si>
    <t>SFO → Austin</t>
  </si>
  <si>
    <t>WN #0358</t>
  </si>
  <si>
    <t>San Francisco SFO</t>
  </si>
  <si>
    <t>Fri, 24 Apr 2026  11:25 AM</t>
  </si>
  <si>
    <t>Austin AUS</t>
  </si>
  <si>
    <t>Fri, 24 Apr 2026  4:55 PM</t>
  </si>
  <si>
    <t>Basic</t>
  </si>
  <si>
    <t>1 carry-on + 1 personal</t>
  </si>
  <si>
    <t>Southwest | Conf: B9X9O6 | Pratibha: 5262130927350 | Ram: 5262130927351 | Paid $196.80</t>
  </si>
  <si>
    <t>Austin → SFO</t>
  </si>
  <si>
    <t>DL 1077</t>
  </si>
  <si>
    <t>Tue, 28 Apr 2026  3:02 PM</t>
  </si>
  <si>
    <t>San Francisco SFO (T-1)</t>
  </si>
  <si>
    <t>Tue, 28 Apr 2026  4:51 PM</t>
  </si>
  <si>
    <t>Main Basic (E)</t>
  </si>
  <si>
    <t>TBD at check-in</t>
  </si>
  <si>
    <t>Delta | Conf: HBMBJX | Ram eTicket: 0067365705380 | Pratibha eTicket: 0067365705381 | Airbus A319</t>
  </si>
  <si>
    <t>SFO → Nepal (Leg 1)</t>
  </si>
  <si>
    <t>SQ 031</t>
  </si>
  <si>
    <t>Wed, 17 Jun 2026  11:30</t>
  </si>
  <si>
    <t>Thu, 18 Jun 2026  19:10</t>
  </si>
  <si>
    <t>Economy (W)</t>
  </si>
  <si>
    <t>Pratibha: 618-2470345931 | Ram: 618-2470345932 | Long layover in SIN — consider transit hotel</t>
  </si>
  <si>
    <t>SFO → Nepal (Leg 2)</t>
  </si>
  <si>
    <t>SQ 442</t>
  </si>
  <si>
    <t>Singapore SIN (T-2)</t>
  </si>
  <si>
    <t>Fri, 19 Jun 2026  18:55</t>
  </si>
  <si>
    <t>Fri, 19 Jun 2026  21:45</t>
  </si>
  <si>
    <t>~23h 45m layover in SIN between legs</t>
  </si>
  <si>
    <t>Drive to Ajit uncle's in NYC and then stay at a hotel near Robbinsville. Dinner in NJ or NYC.</t>
  </si>
  <si>
    <t>Stay at wedding pre-booked rooms by uncle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</si>
</sst>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7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3"/>
      <color rgb="FF1F4E79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0"/>
      <color rgb="FF375623"/>
      <name val="Calibri"/>
      <family val="2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b/>
      <sz val="14"/>
      <color rgb="FF1F4E79"/>
      <name val="Calibri"/>
      <family val="2"/>
    </font>
    <font>
      <sz val="10"/>
      <color rgb="FF555555"/>
      <name val="Calibri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55555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/>
      <right/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0" fillId="0" borderId="0" xfId="0" applyFont="1"/>
    <xf numFmtId="0" fontId="9" fillId="0" borderId="0" xfId="0" applyFont="1"/>
    <xf numFmtId="0" fontId="4" fillId="3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11" fillId="6" borderId="0" xfId="0" applyFont="1" applyFill="1" applyAlignment="1">
      <alignment wrapText="1"/>
    </xf>
    <xf numFmtId="164" fontId="6" fillId="0" borderId="1" xfId="0" applyNumberFormat="1" applyFont="1" applyBorder="1" applyAlignment="1">
      <alignment vertical="top" wrapText="1"/>
    </xf>
    <xf numFmtId="0" fontId="12" fillId="8" borderId="1" xfId="0" applyFont="1" applyFill="1" applyBorder="1"/>
    <xf numFmtId="164" fontId="12" fillId="8" borderId="1" xfId="0" applyNumberFormat="1" applyFont="1" applyFill="1" applyBorder="1"/>
    <xf numFmtId="0" fontId="0" fillId="8" borderId="1" xfId="0" applyFill="1" applyBorder="1"/>
    <xf numFmtId="0" fontId="13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14" fillId="0" borderId="0" xfId="0" applyFont="1"/>
    <xf numFmtId="0" fontId="15" fillId="0" borderId="0" xfId="0" applyFont="1"/>
    <xf numFmtId="0" fontId="4" fillId="2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3" fillId="3" borderId="10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4" fillId="5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6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49" fontId="6" fillId="9" borderId="1" xfId="0" applyNumberFormat="1" applyFont="1" applyFill="1" applyBorder="1" applyAlignment="1">
      <alignment vertical="top" wrapText="1"/>
    </xf>
    <xf numFmtId="49" fontId="6" fillId="11" borderId="1" xfId="0" applyNumberFormat="1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0" fontId="6" fillId="10" borderId="4" xfId="0" applyFont="1" applyFill="1" applyBorder="1" applyAlignment="1">
      <alignment vertical="top" wrapText="1"/>
    </xf>
    <xf numFmtId="49" fontId="6" fillId="10" borderId="5" xfId="0" applyNumberFormat="1" applyFont="1" applyFill="1" applyBorder="1" applyAlignment="1">
      <alignment vertical="top" wrapText="1"/>
    </xf>
    <xf numFmtId="0" fontId="6" fillId="10" borderId="5" xfId="0" applyFont="1" applyFill="1" applyBorder="1" applyAlignment="1">
      <alignment vertical="top" wrapText="1"/>
    </xf>
    <xf numFmtId="49" fontId="6" fillId="10" borderId="1" xfId="0" applyNumberFormat="1" applyFont="1" applyFill="1" applyBorder="1" applyAlignment="1">
      <alignment vertical="top" wrapText="1"/>
    </xf>
    <xf numFmtId="49" fontId="6" fillId="11" borderId="4" xfId="0" applyNumberFormat="1" applyFont="1" applyFill="1" applyBorder="1" applyAlignment="1">
      <alignment vertical="top" wrapText="1"/>
    </xf>
    <xf numFmtId="0" fontId="6" fillId="11" borderId="4" xfId="0" applyFont="1" applyFill="1" applyBorder="1" applyAlignment="1">
      <alignment vertical="top" wrapText="1"/>
    </xf>
    <xf numFmtId="49" fontId="6" fillId="11" borderId="8" xfId="0" applyNumberFormat="1" applyFont="1" applyFill="1" applyBorder="1" applyAlignment="1">
      <alignment vertical="top" wrapText="1"/>
    </xf>
    <xf numFmtId="0" fontId="6" fillId="11" borderId="8" xfId="0" applyFont="1" applyFill="1" applyBorder="1" applyAlignment="1">
      <alignment vertical="top" wrapText="1"/>
    </xf>
    <xf numFmtId="49" fontId="6" fillId="9" borderId="4" xfId="0" applyNumberFormat="1" applyFont="1" applyFill="1" applyBorder="1" applyAlignment="1">
      <alignment vertical="top" wrapText="1"/>
    </xf>
    <xf numFmtId="49" fontId="7" fillId="11" borderId="8" xfId="0" applyNumberFormat="1" applyFont="1" applyFill="1" applyBorder="1" applyAlignment="1">
      <alignment vertical="top" wrapText="1"/>
    </xf>
    <xf numFmtId="0" fontId="7" fillId="11" borderId="8" xfId="0" applyFont="1" applyFill="1" applyBorder="1" applyAlignment="1">
      <alignment vertical="top" wrapText="1"/>
    </xf>
    <xf numFmtId="0" fontId="8" fillId="11" borderId="4" xfId="0" applyFont="1" applyFill="1" applyBorder="1" applyAlignment="1">
      <alignment vertical="top" wrapText="1"/>
    </xf>
    <xf numFmtId="49" fontId="16" fillId="9" borderId="8" xfId="0" applyNumberFormat="1" applyFont="1" applyFill="1" applyBorder="1" applyAlignment="1">
      <alignment vertical="top" wrapText="1"/>
    </xf>
    <xf numFmtId="0" fontId="16" fillId="9" borderId="8" xfId="0" applyFont="1" applyFill="1" applyBorder="1" applyAlignment="1">
      <alignment vertical="top" wrapText="1"/>
    </xf>
    <xf numFmtId="0" fontId="16" fillId="9" borderId="4" xfId="0" applyFont="1" applyFill="1" applyBorder="1" applyAlignment="1">
      <alignment vertical="top" wrapText="1"/>
    </xf>
    <xf numFmtId="49" fontId="6" fillId="10" borderId="8" xfId="0" applyNumberFormat="1" applyFont="1" applyFill="1" applyBorder="1" applyAlignment="1">
      <alignment vertical="top" wrapText="1"/>
    </xf>
    <xf numFmtId="0" fontId="6" fillId="10" borderId="8" xfId="0" applyFont="1" applyFill="1" applyBorder="1" applyAlignment="1">
      <alignment vertical="top" wrapText="1"/>
    </xf>
    <xf numFmtId="49" fontId="6" fillId="9" borderId="5" xfId="0" applyNumberFormat="1" applyFont="1" applyFill="1" applyBorder="1" applyAlignment="1">
      <alignment vertical="top" wrapText="1"/>
    </xf>
    <xf numFmtId="49" fontId="6" fillId="9" borderId="2" xfId="0" applyNumberFormat="1" applyFont="1" applyFill="1" applyBorder="1" applyAlignment="1">
      <alignment vertical="top" wrapText="1"/>
    </xf>
    <xf numFmtId="49" fontId="6" fillId="9" borderId="3" xfId="0" applyNumberFormat="1" applyFont="1" applyFill="1" applyBorder="1" applyAlignment="1">
      <alignment vertical="top" wrapText="1"/>
    </xf>
    <xf numFmtId="0" fontId="6" fillId="10" borderId="2" xfId="0" applyFont="1" applyFill="1" applyBorder="1" applyAlignment="1">
      <alignment vertical="top" wrapText="1"/>
    </xf>
    <xf numFmtId="0" fontId="6" fillId="10" borderId="3" xfId="0" applyFont="1" applyFill="1" applyBorder="1" applyAlignment="1">
      <alignment vertical="top" wrapText="1"/>
    </xf>
    <xf numFmtId="0" fontId="6" fillId="9" borderId="5" xfId="0" applyFont="1" applyFill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6" fillId="9" borderId="3" xfId="0" applyFont="1" applyFill="1" applyBorder="1" applyAlignment="1">
      <alignment vertical="top" wrapText="1"/>
    </xf>
    <xf numFmtId="49" fontId="7" fillId="9" borderId="0" xfId="0" applyNumberFormat="1" applyFont="1" applyFill="1" applyAlignment="1">
      <alignment wrapText="1"/>
    </xf>
    <xf numFmtId="0" fontId="7" fillId="9" borderId="0" xfId="0" applyFont="1" applyFill="1" applyAlignment="1">
      <alignment wrapText="1"/>
    </xf>
    <xf numFmtId="49" fontId="7" fillId="10" borderId="0" xfId="0" applyNumberFormat="1" applyFont="1" applyFill="1" applyAlignment="1">
      <alignment wrapText="1"/>
    </xf>
    <xf numFmtId="0" fontId="7" fillId="10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0" fillId="9" borderId="0" xfId="0" applyFill="1" applyAlignment="1">
      <alignment wrapText="1"/>
    </xf>
    <xf numFmtId="49" fontId="7" fillId="11" borderId="0" xfId="0" applyNumberFormat="1" applyFont="1" applyFill="1" applyAlignment="1">
      <alignment wrapText="1"/>
    </xf>
    <xf numFmtId="0" fontId="7" fillId="11" borderId="0" xfId="0" applyFont="1" applyFill="1" applyAlignment="1">
      <alignment wrapText="1"/>
    </xf>
    <xf numFmtId="0" fontId="0" fillId="11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6B6B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0190B3-10B4-7F41-B18E-53F8AA69147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80"/>
  <sheetViews>
    <sheetView tabSelected="1" topLeftCell="A38" zoomScale="112" zoomScaleNormal="112" workbookViewId="0">
      <selection activeCell="K74" sqref="K74"/>
    </sheetView>
  </sheetViews>
  <sheetFormatPr baseColWidth="10" defaultColWidth="8.6640625" defaultRowHeight="15" customHeight="1" x14ac:dyDescent="0.2"/>
  <cols>
    <col min="1" max="2" width="16" style="6" customWidth="1"/>
    <col min="3" max="3" width="35" style="6" customWidth="1"/>
    <col min="4" max="4" width="18" style="6" customWidth="1"/>
    <col min="5" max="5" width="16" style="6" customWidth="1"/>
    <col min="6" max="6" width="40" style="6" customWidth="1"/>
    <col min="7" max="7" width="30" style="6" customWidth="1"/>
    <col min="8" max="16384" width="8.6640625" style="6"/>
  </cols>
  <sheetData>
    <row r="1" spans="1:7" ht="18" customHeight="1" x14ac:dyDescent="0.2">
      <c r="A1" s="5" t="s">
        <v>0</v>
      </c>
      <c r="B1" s="5"/>
      <c r="C1" s="5"/>
      <c r="D1" s="5"/>
      <c r="E1" s="5"/>
      <c r="F1" s="5"/>
      <c r="G1" s="5"/>
    </row>
    <row r="2" spans="1:7" ht="15" customHeight="1" x14ac:dyDescent="0.2">
      <c r="A2" s="4" t="s">
        <v>1</v>
      </c>
      <c r="B2" s="4"/>
      <c r="C2" s="4"/>
      <c r="D2" s="4"/>
      <c r="E2" s="4"/>
      <c r="F2" s="4"/>
      <c r="G2" s="4"/>
    </row>
    <row r="4" spans="1:7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</row>
    <row r="5" spans="1:7" ht="15" customHeight="1" x14ac:dyDescent="0.2">
      <c r="A5" s="3" t="s">
        <v>9</v>
      </c>
      <c r="B5" s="3"/>
      <c r="C5" s="3"/>
      <c r="D5" s="3"/>
      <c r="E5" s="3"/>
      <c r="F5" s="3"/>
      <c r="G5" s="3"/>
    </row>
    <row r="6" spans="1:7" ht="27.75" customHeight="1" x14ac:dyDescent="0.2">
      <c r="A6" s="40" t="s">
        <v>10</v>
      </c>
      <c r="B6" s="40" t="s">
        <v>11</v>
      </c>
      <c r="C6" s="40" t="s">
        <v>12</v>
      </c>
      <c r="D6" s="40" t="s">
        <v>13</v>
      </c>
      <c r="E6" s="40" t="s">
        <v>14</v>
      </c>
      <c r="F6" s="40" t="s">
        <v>15</v>
      </c>
      <c r="G6" s="40" t="s">
        <v>16</v>
      </c>
    </row>
    <row r="7" spans="1:7" ht="15" customHeight="1" x14ac:dyDescent="0.2">
      <c r="A7" s="41" t="s">
        <v>17</v>
      </c>
      <c r="B7" s="41" t="s">
        <v>18</v>
      </c>
      <c r="C7" s="41" t="s">
        <v>19</v>
      </c>
      <c r="D7" s="41" t="s">
        <v>20</v>
      </c>
      <c r="E7" s="41" t="s">
        <v>21</v>
      </c>
      <c r="F7" s="41" t="s">
        <v>22</v>
      </c>
      <c r="G7" s="41"/>
    </row>
    <row r="8" spans="1:7" ht="45" x14ac:dyDescent="0.2">
      <c r="A8" s="40" t="s">
        <v>17</v>
      </c>
      <c r="B8" s="40" t="s">
        <v>23</v>
      </c>
      <c r="C8" s="40" t="s">
        <v>24</v>
      </c>
      <c r="D8" s="40" t="s">
        <v>25</v>
      </c>
      <c r="E8" s="40" t="s">
        <v>26</v>
      </c>
      <c r="F8" s="40" t="s">
        <v>27</v>
      </c>
      <c r="G8" s="40"/>
    </row>
    <row r="9" spans="1:7" ht="27.75" customHeight="1" x14ac:dyDescent="0.2">
      <c r="A9" s="42" t="s">
        <v>17</v>
      </c>
      <c r="B9" s="42" t="s">
        <v>28</v>
      </c>
      <c r="C9" s="42" t="s">
        <v>29</v>
      </c>
      <c r="D9" s="42" t="s">
        <v>30</v>
      </c>
      <c r="E9" s="42" t="s">
        <v>31</v>
      </c>
      <c r="F9" s="42" t="s">
        <v>32</v>
      </c>
      <c r="G9" s="42" t="s">
        <v>33</v>
      </c>
    </row>
    <row r="10" spans="1:7" x14ac:dyDescent="0.2">
      <c r="A10" s="39" t="s">
        <v>34</v>
      </c>
      <c r="B10" s="39"/>
      <c r="C10" s="39"/>
      <c r="D10" s="39"/>
      <c r="E10" s="39"/>
      <c r="F10" s="39"/>
      <c r="G10" s="39"/>
    </row>
    <row r="11" spans="1:7" ht="45" x14ac:dyDescent="0.2">
      <c r="A11" s="40" t="s">
        <v>35</v>
      </c>
      <c r="B11" s="40" t="s">
        <v>36</v>
      </c>
      <c r="C11" s="40" t="s">
        <v>37</v>
      </c>
      <c r="D11" s="40" t="s">
        <v>38</v>
      </c>
      <c r="E11" s="40" t="s">
        <v>39</v>
      </c>
      <c r="F11" s="40" t="s">
        <v>40</v>
      </c>
      <c r="G11" s="40" t="s">
        <v>41</v>
      </c>
    </row>
    <row r="12" spans="1:7" ht="27.75" customHeight="1" x14ac:dyDescent="0.2">
      <c r="A12" s="42" t="s">
        <v>42</v>
      </c>
      <c r="B12" s="42"/>
      <c r="C12" s="42" t="s">
        <v>43</v>
      </c>
      <c r="D12" s="42" t="s">
        <v>44</v>
      </c>
      <c r="E12" s="42" t="s">
        <v>45</v>
      </c>
      <c r="F12" s="42" t="s">
        <v>46</v>
      </c>
      <c r="G12" s="42" t="s">
        <v>553</v>
      </c>
    </row>
    <row r="13" spans="1:7" ht="42" customHeight="1" x14ac:dyDescent="0.2">
      <c r="A13" s="40" t="s">
        <v>47</v>
      </c>
      <c r="B13" s="40" t="s">
        <v>48</v>
      </c>
      <c r="C13" s="40" t="s">
        <v>49</v>
      </c>
      <c r="D13" s="40" t="s">
        <v>50</v>
      </c>
      <c r="E13" s="40" t="s">
        <v>51</v>
      </c>
      <c r="F13" s="40" t="s">
        <v>52</v>
      </c>
      <c r="G13" s="40" t="s">
        <v>41</v>
      </c>
    </row>
    <row r="14" spans="1:7" ht="27.75" customHeight="1" x14ac:dyDescent="0.2">
      <c r="A14" s="42" t="s">
        <v>53</v>
      </c>
      <c r="B14" s="42" t="s">
        <v>54</v>
      </c>
      <c r="C14" s="42" t="s">
        <v>55</v>
      </c>
      <c r="D14" s="42" t="s">
        <v>56</v>
      </c>
      <c r="E14" s="42" t="s">
        <v>57</v>
      </c>
      <c r="F14" s="42" t="s">
        <v>58</v>
      </c>
      <c r="G14" s="42" t="s">
        <v>59</v>
      </c>
    </row>
    <row r="16" spans="1:7" ht="15" customHeight="1" x14ac:dyDescent="0.2">
      <c r="A16" s="33" t="s">
        <v>60</v>
      </c>
      <c r="B16" s="34"/>
      <c r="C16" s="34"/>
      <c r="D16" s="34"/>
      <c r="E16" s="34"/>
      <c r="F16" s="34"/>
      <c r="G16" s="35"/>
    </row>
    <row r="17" spans="1:7" ht="15" customHeight="1" x14ac:dyDescent="0.2">
      <c r="A17" s="43" t="s">
        <v>61</v>
      </c>
      <c r="B17" s="43" t="s">
        <v>62</v>
      </c>
      <c r="C17" s="43" t="s">
        <v>63</v>
      </c>
      <c r="D17" s="43" t="s">
        <v>38</v>
      </c>
      <c r="E17" s="43" t="s">
        <v>64</v>
      </c>
      <c r="F17" s="43" t="s">
        <v>65</v>
      </c>
      <c r="G17" s="43" t="s">
        <v>66</v>
      </c>
    </row>
    <row r="18" spans="1:7" ht="15" customHeight="1" x14ac:dyDescent="0.2">
      <c r="A18" s="33" t="s">
        <v>67</v>
      </c>
      <c r="B18" s="34"/>
      <c r="C18" s="34"/>
      <c r="D18" s="34"/>
      <c r="E18" s="34"/>
      <c r="F18" s="34"/>
      <c r="G18" s="35"/>
    </row>
    <row r="19" spans="1:7" ht="27.75" customHeight="1" x14ac:dyDescent="0.2">
      <c r="A19" s="44" t="s">
        <v>68</v>
      </c>
      <c r="B19" s="44" t="s">
        <v>69</v>
      </c>
      <c r="C19" s="44" t="s">
        <v>70</v>
      </c>
      <c r="D19" s="44" t="s">
        <v>71</v>
      </c>
      <c r="E19" s="44"/>
      <c r="F19" s="44" t="s">
        <v>72</v>
      </c>
      <c r="G19" s="44"/>
    </row>
    <row r="20" spans="1:7" ht="42" customHeight="1" x14ac:dyDescent="0.2">
      <c r="A20" s="43" t="s">
        <v>68</v>
      </c>
      <c r="B20" s="43" t="s">
        <v>73</v>
      </c>
      <c r="C20" s="43" t="s">
        <v>74</v>
      </c>
      <c r="D20" s="43" t="s">
        <v>75</v>
      </c>
      <c r="E20" s="43"/>
      <c r="F20" s="43" t="s">
        <v>76</v>
      </c>
      <c r="G20" s="43" t="s">
        <v>77</v>
      </c>
    </row>
    <row r="21" spans="1:7" ht="15" customHeight="1" x14ac:dyDescent="0.2">
      <c r="A21" s="44" t="s">
        <v>68</v>
      </c>
      <c r="B21" s="44" t="s">
        <v>78</v>
      </c>
      <c r="C21" s="44" t="s">
        <v>79</v>
      </c>
      <c r="D21" s="44" t="s">
        <v>80</v>
      </c>
      <c r="E21" s="44" t="s">
        <v>81</v>
      </c>
      <c r="F21" s="44" t="s">
        <v>82</v>
      </c>
      <c r="G21" s="44" t="s">
        <v>83</v>
      </c>
    </row>
    <row r="22" spans="1:7" ht="27.75" customHeight="1" x14ac:dyDescent="0.2">
      <c r="A22" s="43" t="s">
        <v>68</v>
      </c>
      <c r="B22" s="43" t="s">
        <v>84</v>
      </c>
      <c r="C22" s="43" t="s">
        <v>85</v>
      </c>
      <c r="D22" s="43" t="s">
        <v>86</v>
      </c>
      <c r="E22" s="43"/>
      <c r="F22" s="43" t="s">
        <v>87</v>
      </c>
      <c r="G22" s="43"/>
    </row>
    <row r="23" spans="1:7" ht="27.75" customHeight="1" x14ac:dyDescent="0.2">
      <c r="A23" s="44" t="s">
        <v>68</v>
      </c>
      <c r="B23" s="44" t="s">
        <v>88</v>
      </c>
      <c r="C23" s="44" t="s">
        <v>89</v>
      </c>
      <c r="D23" s="44" t="s">
        <v>90</v>
      </c>
      <c r="E23" s="44" t="s">
        <v>91</v>
      </c>
      <c r="F23" s="44" t="s">
        <v>92</v>
      </c>
      <c r="G23" s="44"/>
    </row>
    <row r="24" spans="1:7" ht="42" customHeight="1" x14ac:dyDescent="0.2">
      <c r="A24" s="43" t="s">
        <v>68</v>
      </c>
      <c r="B24" s="43" t="s">
        <v>93</v>
      </c>
      <c r="C24" s="43" t="s">
        <v>94</v>
      </c>
      <c r="D24" s="43" t="s">
        <v>95</v>
      </c>
      <c r="E24" s="43"/>
      <c r="F24" s="43" t="s">
        <v>96</v>
      </c>
      <c r="G24" s="43" t="s">
        <v>97</v>
      </c>
    </row>
    <row r="25" spans="1:7" ht="27.75" customHeight="1" x14ac:dyDescent="0.2">
      <c r="A25" s="44" t="s">
        <v>68</v>
      </c>
      <c r="B25" s="44" t="s">
        <v>98</v>
      </c>
      <c r="C25" s="44" t="s">
        <v>99</v>
      </c>
      <c r="D25" s="44" t="s">
        <v>95</v>
      </c>
      <c r="E25" s="44"/>
      <c r="F25" s="44" t="s">
        <v>100</v>
      </c>
      <c r="G25" s="44" t="s">
        <v>101</v>
      </c>
    </row>
    <row r="26" spans="1:7" ht="15" customHeight="1" x14ac:dyDescent="0.2">
      <c r="A26" s="33" t="s">
        <v>102</v>
      </c>
      <c r="B26" s="34"/>
      <c r="C26" s="34"/>
      <c r="D26" s="34"/>
      <c r="E26" s="34"/>
      <c r="F26" s="34"/>
      <c r="G26" s="35"/>
    </row>
    <row r="27" spans="1:7" ht="15" customHeight="1" x14ac:dyDescent="0.2">
      <c r="A27" s="45" t="s">
        <v>103</v>
      </c>
      <c r="B27" s="43" t="s">
        <v>104</v>
      </c>
      <c r="C27" s="43" t="s">
        <v>105</v>
      </c>
      <c r="D27" s="43" t="s">
        <v>106</v>
      </c>
      <c r="E27" s="43"/>
      <c r="F27" s="43" t="s">
        <v>107</v>
      </c>
      <c r="G27" s="43" t="s">
        <v>108</v>
      </c>
    </row>
    <row r="28" spans="1:7" ht="15" customHeight="1" x14ac:dyDescent="0.2">
      <c r="A28" s="46" t="s">
        <v>103</v>
      </c>
      <c r="B28" s="47" t="s">
        <v>109</v>
      </c>
      <c r="C28" s="47" t="s">
        <v>110</v>
      </c>
      <c r="D28" s="47" t="s">
        <v>111</v>
      </c>
      <c r="E28" s="47" t="s">
        <v>112</v>
      </c>
      <c r="F28" s="47" t="s">
        <v>113</v>
      </c>
      <c r="G28" s="47"/>
    </row>
    <row r="29" spans="1:7" ht="27.75" customHeight="1" x14ac:dyDescent="0.2">
      <c r="A29" s="48" t="s">
        <v>103</v>
      </c>
      <c r="B29" s="49" t="s">
        <v>114</v>
      </c>
      <c r="C29" s="49" t="s">
        <v>115</v>
      </c>
      <c r="D29" s="49" t="s">
        <v>116</v>
      </c>
      <c r="E29" s="49" t="s">
        <v>117</v>
      </c>
      <c r="F29" s="49" t="s">
        <v>118</v>
      </c>
      <c r="G29" s="49" t="s">
        <v>119</v>
      </c>
    </row>
    <row r="30" spans="1:7" ht="55.5" customHeight="1" x14ac:dyDescent="0.2">
      <c r="A30" s="50" t="s">
        <v>103</v>
      </c>
      <c r="B30" s="51"/>
      <c r="C30" s="51" t="s">
        <v>120</v>
      </c>
      <c r="D30" s="51" t="s">
        <v>121</v>
      </c>
      <c r="E30" s="51" t="s">
        <v>122</v>
      </c>
      <c r="F30" s="51" t="s">
        <v>123</v>
      </c>
      <c r="G30" s="44"/>
    </row>
    <row r="31" spans="1:7" ht="15" customHeight="1" x14ac:dyDescent="0.2">
      <c r="A31" s="33" t="s">
        <v>124</v>
      </c>
      <c r="B31" s="34"/>
      <c r="C31" s="34"/>
      <c r="D31" s="34"/>
      <c r="E31" s="34"/>
      <c r="F31" s="34"/>
      <c r="G31" s="35"/>
    </row>
    <row r="32" spans="1:7" ht="15" customHeight="1" x14ac:dyDescent="0.2">
      <c r="A32" s="45" t="s">
        <v>125</v>
      </c>
      <c r="B32" s="45" t="s">
        <v>126</v>
      </c>
      <c r="C32" s="45" t="s">
        <v>127</v>
      </c>
      <c r="D32" s="45" t="s">
        <v>106</v>
      </c>
      <c r="E32" s="45"/>
      <c r="F32" s="45" t="s">
        <v>128</v>
      </c>
      <c r="G32" s="45" t="s">
        <v>129</v>
      </c>
    </row>
    <row r="33" spans="1:7" ht="42" customHeight="1" x14ac:dyDescent="0.2">
      <c r="A33" s="46" t="s">
        <v>125</v>
      </c>
      <c r="B33" s="47" t="s">
        <v>130</v>
      </c>
      <c r="C33" s="47" t="s">
        <v>131</v>
      </c>
      <c r="D33" s="47" t="s">
        <v>132</v>
      </c>
      <c r="E33" s="47" t="s">
        <v>133</v>
      </c>
      <c r="F33" s="47" t="s">
        <v>134</v>
      </c>
      <c r="G33" s="47" t="s">
        <v>129</v>
      </c>
    </row>
    <row r="34" spans="1:7" ht="27.75" customHeight="1" x14ac:dyDescent="0.2">
      <c r="A34" s="52" t="s">
        <v>125</v>
      </c>
      <c r="B34" s="44" t="s">
        <v>135</v>
      </c>
      <c r="C34" s="44" t="s">
        <v>136</v>
      </c>
      <c r="D34" s="44" t="s">
        <v>106</v>
      </c>
      <c r="E34" s="44"/>
      <c r="F34" s="44" t="s">
        <v>137</v>
      </c>
      <c r="G34" s="44" t="s">
        <v>138</v>
      </c>
    </row>
    <row r="35" spans="1:7" ht="15" customHeight="1" x14ac:dyDescent="0.2">
      <c r="A35" s="33" t="s">
        <v>139</v>
      </c>
      <c r="B35" s="34"/>
      <c r="C35" s="34"/>
      <c r="D35" s="34"/>
      <c r="E35" s="34"/>
      <c r="F35" s="34"/>
      <c r="G35" s="35"/>
    </row>
    <row r="36" spans="1:7" ht="28" x14ac:dyDescent="0.2">
      <c r="A36" s="45" t="s">
        <v>140</v>
      </c>
      <c r="B36" s="43" t="s">
        <v>104</v>
      </c>
      <c r="C36" s="43" t="s">
        <v>141</v>
      </c>
      <c r="D36" s="43" t="s">
        <v>106</v>
      </c>
      <c r="E36" s="43"/>
      <c r="F36" s="43" t="s">
        <v>142</v>
      </c>
      <c r="G36" s="43" t="s">
        <v>143</v>
      </c>
    </row>
    <row r="37" spans="1:7" ht="27.75" customHeight="1" x14ac:dyDescent="0.2">
      <c r="A37" s="53" t="s">
        <v>140</v>
      </c>
      <c r="B37" s="54" t="s">
        <v>144</v>
      </c>
      <c r="C37" s="54" t="s">
        <v>145</v>
      </c>
      <c r="D37" s="54" t="s">
        <v>111</v>
      </c>
      <c r="E37" s="54" t="s">
        <v>112</v>
      </c>
      <c r="F37" s="54" t="s">
        <v>146</v>
      </c>
      <c r="G37" s="54" t="s">
        <v>147</v>
      </c>
    </row>
    <row r="38" spans="1:7" ht="27.75" customHeight="1" x14ac:dyDescent="0.2">
      <c r="A38" s="55" t="s">
        <v>140</v>
      </c>
      <c r="B38" s="56" t="s">
        <v>109</v>
      </c>
      <c r="C38" s="56" t="s">
        <v>148</v>
      </c>
      <c r="D38" s="56" t="s">
        <v>149</v>
      </c>
      <c r="E38" s="56" t="s">
        <v>112</v>
      </c>
      <c r="F38" s="56" t="s">
        <v>150</v>
      </c>
      <c r="G38" s="54"/>
    </row>
    <row r="39" spans="1:7" ht="15" customHeight="1" x14ac:dyDescent="0.2">
      <c r="A39" s="57" t="s">
        <v>140</v>
      </c>
      <c r="B39" s="57" t="s">
        <v>151</v>
      </c>
      <c r="C39" s="57" t="s">
        <v>152</v>
      </c>
      <c r="D39" s="57" t="s">
        <v>153</v>
      </c>
      <c r="E39" s="57"/>
      <c r="F39" s="57" t="s">
        <v>154</v>
      </c>
      <c r="G39" s="57" t="s">
        <v>147</v>
      </c>
    </row>
    <row r="40" spans="1:7" ht="15" customHeight="1" x14ac:dyDescent="0.2">
      <c r="A40" s="36" t="s">
        <v>155</v>
      </c>
      <c r="B40" s="37"/>
      <c r="C40" s="37"/>
      <c r="D40" s="37"/>
      <c r="E40" s="37"/>
      <c r="F40" s="37"/>
      <c r="G40" s="38"/>
    </row>
    <row r="41" spans="1:7" ht="27" customHeight="1" x14ac:dyDescent="0.2">
      <c r="A41" s="58" t="s">
        <v>156</v>
      </c>
      <c r="B41" s="59" t="s">
        <v>157</v>
      </c>
      <c r="C41" s="59" t="s">
        <v>158</v>
      </c>
      <c r="D41" s="59" t="s">
        <v>159</v>
      </c>
      <c r="E41" s="59" t="s">
        <v>160</v>
      </c>
      <c r="F41" s="59" t="s">
        <v>161</v>
      </c>
      <c r="G41" s="60"/>
    </row>
    <row r="42" spans="1:7" ht="27" customHeight="1" x14ac:dyDescent="0.2">
      <c r="A42" s="61" t="s">
        <v>156</v>
      </c>
      <c r="B42" s="62" t="s">
        <v>162</v>
      </c>
      <c r="C42" s="62" t="s">
        <v>163</v>
      </c>
      <c r="D42" s="62" t="s">
        <v>95</v>
      </c>
      <c r="E42" s="62"/>
      <c r="F42" s="62" t="s">
        <v>164</v>
      </c>
      <c r="G42" s="63"/>
    </row>
    <row r="43" spans="1:7" ht="48.75" customHeight="1" x14ac:dyDescent="0.2">
      <c r="A43" s="64" t="s">
        <v>156</v>
      </c>
      <c r="B43" s="65" t="s">
        <v>165</v>
      </c>
      <c r="C43" s="65" t="s">
        <v>166</v>
      </c>
      <c r="D43" s="65" t="s">
        <v>167</v>
      </c>
      <c r="E43" s="65" t="s">
        <v>168</v>
      </c>
      <c r="F43" s="65" t="s">
        <v>169</v>
      </c>
      <c r="G43" s="49"/>
    </row>
    <row r="44" spans="1:7" ht="15" customHeight="1" x14ac:dyDescent="0.2">
      <c r="A44" s="57" t="s">
        <v>156</v>
      </c>
      <c r="B44" s="57" t="s">
        <v>170</v>
      </c>
      <c r="C44" s="57" t="s">
        <v>171</v>
      </c>
      <c r="D44" s="57" t="s">
        <v>172</v>
      </c>
      <c r="E44" s="57" t="s">
        <v>173</v>
      </c>
      <c r="F44" s="57" t="s">
        <v>174</v>
      </c>
      <c r="G44" s="57" t="s">
        <v>175</v>
      </c>
    </row>
    <row r="45" spans="1:7" ht="46.5" customHeight="1" x14ac:dyDescent="0.2">
      <c r="A45" s="50" t="s">
        <v>156</v>
      </c>
      <c r="B45" s="51" t="s">
        <v>151</v>
      </c>
      <c r="C45" s="51" t="s">
        <v>176</v>
      </c>
      <c r="D45" s="51" t="s">
        <v>177</v>
      </c>
      <c r="E45" s="51" t="s">
        <v>178</v>
      </c>
      <c r="F45" s="51" t="s">
        <v>552</v>
      </c>
      <c r="G45" s="44" t="s">
        <v>179</v>
      </c>
    </row>
    <row r="46" spans="1:7" ht="15" customHeight="1" x14ac:dyDescent="0.2">
      <c r="A46" s="33" t="s">
        <v>180</v>
      </c>
      <c r="B46" s="34"/>
      <c r="C46" s="34"/>
      <c r="D46" s="34"/>
      <c r="E46" s="34"/>
      <c r="F46" s="34"/>
      <c r="G46" s="35"/>
    </row>
    <row r="47" spans="1:7" ht="15" customHeight="1" x14ac:dyDescent="0.2">
      <c r="A47" s="66" t="s">
        <v>181</v>
      </c>
      <c r="B47" s="67" t="s">
        <v>182</v>
      </c>
      <c r="C47" s="67" t="s">
        <v>183</v>
      </c>
      <c r="D47" s="67" t="s">
        <v>184</v>
      </c>
      <c r="E47" s="67" t="s">
        <v>185</v>
      </c>
      <c r="F47" s="67" t="s">
        <v>186</v>
      </c>
      <c r="G47" s="68" t="s">
        <v>187</v>
      </c>
    </row>
    <row r="48" spans="1:7" ht="15" customHeight="1" x14ac:dyDescent="0.2">
      <c r="A48" s="52" t="s">
        <v>181</v>
      </c>
      <c r="B48" s="44" t="s">
        <v>151</v>
      </c>
      <c r="C48" s="44" t="s">
        <v>188</v>
      </c>
      <c r="D48" s="44" t="s">
        <v>189</v>
      </c>
      <c r="E48" s="44" t="s">
        <v>190</v>
      </c>
      <c r="F48" s="44" t="s">
        <v>191</v>
      </c>
      <c r="G48" s="44" t="s">
        <v>187</v>
      </c>
    </row>
    <row r="49" spans="1:7" ht="15" customHeight="1" x14ac:dyDescent="0.2">
      <c r="A49" s="33" t="s">
        <v>192</v>
      </c>
      <c r="B49" s="34"/>
      <c r="C49" s="34"/>
      <c r="D49" s="34"/>
      <c r="E49" s="34"/>
      <c r="F49" s="34"/>
      <c r="G49" s="35"/>
    </row>
    <row r="50" spans="1:7" ht="28.5" customHeight="1" x14ac:dyDescent="0.2">
      <c r="A50" s="43" t="s">
        <v>193</v>
      </c>
      <c r="B50" s="43" t="s">
        <v>104</v>
      </c>
      <c r="C50" s="43" t="s">
        <v>194</v>
      </c>
      <c r="D50" s="43" t="s">
        <v>189</v>
      </c>
      <c r="E50" s="43" t="s">
        <v>190</v>
      </c>
      <c r="F50" s="43" t="s">
        <v>195</v>
      </c>
      <c r="G50" s="43"/>
    </row>
    <row r="51" spans="1:7" ht="15" customHeight="1" x14ac:dyDescent="0.2">
      <c r="A51" s="51" t="s">
        <v>193</v>
      </c>
      <c r="B51" s="69" t="s">
        <v>196</v>
      </c>
      <c r="C51" s="69" t="s">
        <v>197</v>
      </c>
      <c r="D51" s="69" t="s">
        <v>198</v>
      </c>
      <c r="E51" s="69" t="s">
        <v>199</v>
      </c>
      <c r="F51" s="69" t="s">
        <v>200</v>
      </c>
      <c r="G51" s="70" t="s">
        <v>201</v>
      </c>
    </row>
    <row r="52" spans="1:7" ht="28.5" customHeight="1" x14ac:dyDescent="0.2">
      <c r="A52" s="43" t="s">
        <v>193</v>
      </c>
      <c r="B52" s="43"/>
      <c r="C52" s="43" t="s">
        <v>202</v>
      </c>
      <c r="D52" s="43" t="s">
        <v>80</v>
      </c>
      <c r="E52" s="43"/>
      <c r="F52" s="43" t="s">
        <v>203</v>
      </c>
      <c r="G52" s="43"/>
    </row>
    <row r="53" spans="1:7" ht="15" customHeight="1" x14ac:dyDescent="0.2">
      <c r="A53" s="33" t="s">
        <v>204</v>
      </c>
      <c r="B53" s="34"/>
      <c r="C53" s="34"/>
      <c r="D53" s="34"/>
      <c r="E53" s="34"/>
      <c r="F53" s="34"/>
      <c r="G53" s="35"/>
    </row>
    <row r="54" spans="1:7" ht="15" customHeight="1" x14ac:dyDescent="0.2">
      <c r="A54" s="71" t="s">
        <v>205</v>
      </c>
      <c r="B54" s="72" t="s">
        <v>104</v>
      </c>
      <c r="C54" s="72" t="s">
        <v>206</v>
      </c>
      <c r="D54" s="72" t="s">
        <v>207</v>
      </c>
      <c r="E54" s="72" t="s">
        <v>208</v>
      </c>
      <c r="F54" s="72" t="s">
        <v>209</v>
      </c>
      <c r="G54" s="73" t="s">
        <v>210</v>
      </c>
    </row>
    <row r="55" spans="1:7" ht="42.75" customHeight="1" x14ac:dyDescent="0.2">
      <c r="A55" s="44" t="s">
        <v>205</v>
      </c>
      <c r="B55" s="44" t="s">
        <v>211</v>
      </c>
      <c r="C55" s="44" t="s">
        <v>212</v>
      </c>
      <c r="D55" s="44" t="s">
        <v>213</v>
      </c>
      <c r="E55" s="44"/>
      <c r="F55" s="44" t="s">
        <v>214</v>
      </c>
      <c r="G55" s="44" t="s">
        <v>215</v>
      </c>
    </row>
    <row r="56" spans="1:7" ht="42.75" customHeight="1" x14ac:dyDescent="0.2">
      <c r="A56" s="43" t="s">
        <v>216</v>
      </c>
      <c r="B56" s="43" t="s">
        <v>104</v>
      </c>
      <c r="C56" s="43" t="s">
        <v>217</v>
      </c>
      <c r="D56" s="43" t="s">
        <v>213</v>
      </c>
      <c r="E56" s="43"/>
      <c r="F56" s="43" t="s">
        <v>218</v>
      </c>
      <c r="G56" s="43"/>
    </row>
    <row r="57" spans="1:7" ht="15" customHeight="1" x14ac:dyDescent="0.2">
      <c r="A57" s="51" t="s">
        <v>216</v>
      </c>
      <c r="B57" s="69" t="s">
        <v>196</v>
      </c>
      <c r="C57" s="69" t="s">
        <v>219</v>
      </c>
      <c r="D57" s="69" t="s">
        <v>220</v>
      </c>
      <c r="E57" s="69" t="s">
        <v>208</v>
      </c>
      <c r="F57" s="69" t="s">
        <v>221</v>
      </c>
      <c r="G57" s="70" t="s">
        <v>222</v>
      </c>
    </row>
    <row r="58" spans="1:7" ht="15" customHeight="1" x14ac:dyDescent="0.2">
      <c r="A58" s="32" t="s">
        <v>223</v>
      </c>
      <c r="B58" s="32"/>
      <c r="C58" s="32"/>
      <c r="D58" s="32"/>
      <c r="E58" s="32"/>
      <c r="F58" s="32"/>
      <c r="G58" s="32"/>
    </row>
    <row r="59" spans="1:7" ht="43" x14ac:dyDescent="0.2">
      <c r="A59" s="74" t="s">
        <v>224</v>
      </c>
      <c r="B59" s="75" t="s">
        <v>225</v>
      </c>
      <c r="C59" s="75" t="s">
        <v>226</v>
      </c>
      <c r="D59" s="75" t="s">
        <v>71</v>
      </c>
      <c r="E59" s="75"/>
      <c r="F59" s="75" t="s">
        <v>227</v>
      </c>
      <c r="G59" s="75"/>
    </row>
    <row r="60" spans="1:7" ht="42.75" customHeight="1" x14ac:dyDescent="0.2">
      <c r="A60" s="76" t="s">
        <v>224</v>
      </c>
      <c r="B60" s="77" t="s">
        <v>151</v>
      </c>
      <c r="C60" s="77" t="s">
        <v>228</v>
      </c>
      <c r="D60" s="77" t="s">
        <v>198</v>
      </c>
      <c r="E60" s="77" t="s">
        <v>229</v>
      </c>
      <c r="F60" s="77" t="s">
        <v>230</v>
      </c>
      <c r="G60" s="77" t="s">
        <v>231</v>
      </c>
    </row>
    <row r="61" spans="1:7" ht="15" customHeight="1" x14ac:dyDescent="0.2">
      <c r="A61" s="29" t="s">
        <v>232</v>
      </c>
      <c r="B61" s="29"/>
      <c r="C61" s="29"/>
      <c r="D61" s="29"/>
      <c r="E61" s="29"/>
      <c r="F61" s="29"/>
      <c r="G61" s="29"/>
    </row>
    <row r="62" spans="1:7" ht="29" x14ac:dyDescent="0.2">
      <c r="A62" s="74" t="s">
        <v>233</v>
      </c>
      <c r="B62" s="75" t="s">
        <v>234</v>
      </c>
      <c r="C62" s="75" t="s">
        <v>235</v>
      </c>
      <c r="D62" s="75" t="s">
        <v>236</v>
      </c>
      <c r="E62" s="75" t="s">
        <v>133</v>
      </c>
      <c r="F62" s="75" t="s">
        <v>237</v>
      </c>
      <c r="G62" s="75" t="s">
        <v>238</v>
      </c>
    </row>
    <row r="63" spans="1:7" ht="29" x14ac:dyDescent="0.2">
      <c r="A63" s="76" t="s">
        <v>233</v>
      </c>
      <c r="B63" s="77" t="s">
        <v>239</v>
      </c>
      <c r="C63" s="77" t="s">
        <v>240</v>
      </c>
      <c r="D63" s="77" t="s">
        <v>241</v>
      </c>
      <c r="E63" s="78"/>
      <c r="F63" s="77" t="s">
        <v>242</v>
      </c>
      <c r="G63" s="77"/>
    </row>
    <row r="64" spans="1:7" ht="29" x14ac:dyDescent="0.2">
      <c r="A64" s="74" t="s">
        <v>233</v>
      </c>
      <c r="B64" s="75" t="s">
        <v>151</v>
      </c>
      <c r="C64" s="75" t="s">
        <v>243</v>
      </c>
      <c r="D64" s="75" t="s">
        <v>241</v>
      </c>
      <c r="E64" s="79"/>
      <c r="F64" s="75" t="s">
        <v>244</v>
      </c>
      <c r="G64" s="75" t="s">
        <v>245</v>
      </c>
    </row>
    <row r="65" spans="1:7" ht="15" customHeight="1" x14ac:dyDescent="0.2">
      <c r="A65" s="29" t="s">
        <v>246</v>
      </c>
      <c r="B65" s="29"/>
      <c r="C65" s="29"/>
      <c r="D65" s="29"/>
      <c r="E65" s="29"/>
      <c r="F65" s="29"/>
      <c r="G65" s="29"/>
    </row>
    <row r="66" spans="1:7" ht="29" x14ac:dyDescent="0.2">
      <c r="A66" s="74" t="s">
        <v>247</v>
      </c>
      <c r="B66" s="75" t="s">
        <v>196</v>
      </c>
      <c r="C66" s="75" t="s">
        <v>248</v>
      </c>
      <c r="D66" s="75" t="s">
        <v>249</v>
      </c>
      <c r="E66" s="75" t="s">
        <v>133</v>
      </c>
      <c r="F66" s="75" t="s">
        <v>250</v>
      </c>
      <c r="G66" s="75"/>
    </row>
    <row r="67" spans="1:7" ht="29" x14ac:dyDescent="0.2">
      <c r="A67" s="76" t="s">
        <v>247</v>
      </c>
      <c r="B67" s="77" t="s">
        <v>151</v>
      </c>
      <c r="C67" s="77" t="s">
        <v>251</v>
      </c>
      <c r="D67" s="77" t="s">
        <v>252</v>
      </c>
      <c r="E67" s="77" t="s">
        <v>253</v>
      </c>
      <c r="F67" s="77" t="s">
        <v>254</v>
      </c>
      <c r="G67" s="77"/>
    </row>
    <row r="68" spans="1:7" ht="15" customHeight="1" x14ac:dyDescent="0.2">
      <c r="A68" s="29" t="s">
        <v>255</v>
      </c>
      <c r="B68" s="29"/>
      <c r="C68" s="29"/>
      <c r="D68" s="29"/>
      <c r="E68" s="29"/>
      <c r="F68" s="29"/>
      <c r="G68" s="29"/>
    </row>
    <row r="69" spans="1:7" ht="43" x14ac:dyDescent="0.2">
      <c r="A69" s="80" t="s">
        <v>256</v>
      </c>
      <c r="B69" s="81" t="s">
        <v>257</v>
      </c>
      <c r="C69" s="81" t="s">
        <v>258</v>
      </c>
      <c r="D69" s="81" t="s">
        <v>259</v>
      </c>
      <c r="E69" s="82" t="s">
        <v>260</v>
      </c>
      <c r="F69" s="81" t="s">
        <v>261</v>
      </c>
      <c r="G69" s="81" t="s">
        <v>262</v>
      </c>
    </row>
    <row r="70" spans="1:7" ht="43" x14ac:dyDescent="0.2">
      <c r="A70" s="74" t="s">
        <v>256</v>
      </c>
      <c r="B70" s="75" t="s">
        <v>263</v>
      </c>
      <c r="C70" s="75" t="s">
        <v>264</v>
      </c>
      <c r="D70" s="75" t="s">
        <v>198</v>
      </c>
      <c r="E70" s="75" t="s">
        <v>229</v>
      </c>
      <c r="F70" s="75" t="s">
        <v>265</v>
      </c>
      <c r="G70" s="75"/>
    </row>
    <row r="71" spans="1:7" ht="15" customHeight="1" x14ac:dyDescent="0.2">
      <c r="A71" s="30" t="s">
        <v>266</v>
      </c>
      <c r="B71" s="30"/>
      <c r="C71" s="30"/>
      <c r="D71" s="30"/>
      <c r="E71" s="30"/>
      <c r="F71" s="30"/>
      <c r="G71" s="30"/>
    </row>
    <row r="72" spans="1:7" ht="29" x14ac:dyDescent="0.2">
      <c r="A72" s="74" t="s">
        <v>267</v>
      </c>
      <c r="B72" s="75" t="s">
        <v>104</v>
      </c>
      <c r="C72" s="75" t="s">
        <v>268</v>
      </c>
      <c r="D72" s="75" t="s">
        <v>75</v>
      </c>
      <c r="E72" s="79"/>
      <c r="F72" s="75" t="s">
        <v>269</v>
      </c>
      <c r="G72" s="75" t="s">
        <v>270</v>
      </c>
    </row>
    <row r="73" spans="1:7" x14ac:dyDescent="0.2">
      <c r="A73" s="76" t="s">
        <v>267</v>
      </c>
      <c r="B73" s="76" t="s">
        <v>271</v>
      </c>
      <c r="C73" s="77" t="s">
        <v>272</v>
      </c>
      <c r="D73" s="77" t="s">
        <v>273</v>
      </c>
      <c r="E73" s="77" t="s">
        <v>274</v>
      </c>
      <c r="F73" s="77" t="s">
        <v>275</v>
      </c>
      <c r="G73" s="77"/>
    </row>
    <row r="74" spans="1:7" ht="43" x14ac:dyDescent="0.2">
      <c r="A74" s="74" t="s">
        <v>267</v>
      </c>
      <c r="B74" s="74" t="s">
        <v>276</v>
      </c>
      <c r="C74" s="75" t="s">
        <v>277</v>
      </c>
      <c r="D74" s="75" t="s">
        <v>278</v>
      </c>
      <c r="E74" s="75"/>
      <c r="F74" s="75" t="s">
        <v>279</v>
      </c>
      <c r="G74" s="75" t="s">
        <v>280</v>
      </c>
    </row>
    <row r="76" spans="1:7" ht="15" customHeight="1" x14ac:dyDescent="0.2">
      <c r="A76" s="31" t="s">
        <v>281</v>
      </c>
      <c r="B76" s="31"/>
      <c r="C76" s="31"/>
      <c r="D76" s="31"/>
      <c r="E76" s="31"/>
      <c r="F76" s="31"/>
      <c r="G76" s="31"/>
    </row>
    <row r="77" spans="1:7" ht="30" x14ac:dyDescent="0.2">
      <c r="A77" s="40" t="s">
        <v>282</v>
      </c>
      <c r="B77" s="40" t="s">
        <v>283</v>
      </c>
      <c r="C77" s="40" t="s">
        <v>284</v>
      </c>
      <c r="D77" s="40" t="s">
        <v>285</v>
      </c>
      <c r="E77" s="40" t="s">
        <v>286</v>
      </c>
      <c r="F77" s="40" t="s">
        <v>287</v>
      </c>
      <c r="G77" s="40"/>
    </row>
    <row r="78" spans="1:7" ht="30" x14ac:dyDescent="0.2">
      <c r="A78" s="42" t="s">
        <v>288</v>
      </c>
      <c r="B78" s="42" t="s">
        <v>289</v>
      </c>
      <c r="C78" s="42" t="s">
        <v>290</v>
      </c>
      <c r="D78" s="42" t="s">
        <v>291</v>
      </c>
      <c r="E78" s="42" t="s">
        <v>292</v>
      </c>
      <c r="F78" s="42" t="s">
        <v>293</v>
      </c>
      <c r="G78" s="42" t="s">
        <v>294</v>
      </c>
    </row>
    <row r="79" spans="1:7" x14ac:dyDescent="0.2">
      <c r="A79" s="40" t="s">
        <v>295</v>
      </c>
      <c r="B79" s="40" t="s">
        <v>296</v>
      </c>
      <c r="C79" s="40" t="s">
        <v>297</v>
      </c>
      <c r="D79" s="40" t="s">
        <v>298</v>
      </c>
      <c r="E79" s="40" t="s">
        <v>299</v>
      </c>
      <c r="F79" s="40" t="s">
        <v>300</v>
      </c>
      <c r="G79" s="40"/>
    </row>
    <row r="80" spans="1:7" ht="30" x14ac:dyDescent="0.2">
      <c r="A80" s="42" t="s">
        <v>295</v>
      </c>
      <c r="B80" s="42" t="s">
        <v>301</v>
      </c>
      <c r="C80" s="42" t="s">
        <v>302</v>
      </c>
      <c r="D80" s="42" t="s">
        <v>303</v>
      </c>
      <c r="E80" s="42" t="s">
        <v>31</v>
      </c>
      <c r="F80" s="42" t="s">
        <v>304</v>
      </c>
      <c r="G80" s="42"/>
    </row>
  </sheetData>
  <mergeCells count="20">
    <mergeCell ref="A16:G16"/>
    <mergeCell ref="A10:G10"/>
    <mergeCell ref="A76:G76"/>
    <mergeCell ref="A71:G71"/>
    <mergeCell ref="A68:G68"/>
    <mergeCell ref="A65:G65"/>
    <mergeCell ref="A61:G61"/>
    <mergeCell ref="A58:G58"/>
    <mergeCell ref="A53:G53"/>
    <mergeCell ref="A49:G49"/>
    <mergeCell ref="A46:G46"/>
    <mergeCell ref="A40:G40"/>
    <mergeCell ref="A26:G26"/>
    <mergeCell ref="A35:G35"/>
    <mergeCell ref="A31:G31"/>
    <mergeCell ref="A18:G18"/>
    <mergeCell ref="A1:G1"/>
    <mergeCell ref="A2:G2"/>
    <mergeCell ref="A5:G5"/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21"/>
  <sheetViews>
    <sheetView zoomScaleNormal="100" workbookViewId="0">
      <selection sqref="A1:E1"/>
    </sheetView>
  </sheetViews>
  <sheetFormatPr baseColWidth="10" defaultColWidth="8.6640625" defaultRowHeight="15" customHeight="1" x14ac:dyDescent="0.2"/>
  <cols>
    <col min="1" max="2" width="30" customWidth="1"/>
    <col min="3" max="3" width="15" customWidth="1"/>
    <col min="4" max="4" width="18" customWidth="1"/>
    <col min="5" max="5" width="30" customWidth="1"/>
  </cols>
  <sheetData>
    <row r="1" spans="1:5" ht="16.5" customHeight="1" x14ac:dyDescent="0.2">
      <c r="A1" s="2" t="s">
        <v>305</v>
      </c>
      <c r="B1" s="2"/>
      <c r="C1" s="2"/>
      <c r="D1" s="2"/>
      <c r="E1" s="2"/>
    </row>
    <row r="3" spans="1:5" x14ac:dyDescent="0.2">
      <c r="A3" s="7" t="s">
        <v>306</v>
      </c>
      <c r="B3" s="7" t="s">
        <v>307</v>
      </c>
      <c r="C3" s="7" t="s">
        <v>308</v>
      </c>
      <c r="D3" s="7" t="s">
        <v>6</v>
      </c>
      <c r="E3" s="7" t="s">
        <v>309</v>
      </c>
    </row>
    <row r="4" spans="1:5" x14ac:dyDescent="0.2">
      <c r="A4" s="11" t="s">
        <v>310</v>
      </c>
      <c r="B4" s="11" t="s">
        <v>311</v>
      </c>
      <c r="C4" s="11">
        <v>8</v>
      </c>
      <c r="D4" s="11" t="s">
        <v>81</v>
      </c>
      <c r="E4" s="11" t="s">
        <v>312</v>
      </c>
    </row>
    <row r="5" spans="1:5" ht="27.75" customHeight="1" x14ac:dyDescent="0.2">
      <c r="A5" s="11" t="s">
        <v>71</v>
      </c>
      <c r="B5" s="11" t="s">
        <v>95</v>
      </c>
      <c r="C5" s="11">
        <v>392</v>
      </c>
      <c r="D5" s="11" t="s">
        <v>91</v>
      </c>
      <c r="E5" s="11" t="s">
        <v>313</v>
      </c>
    </row>
    <row r="6" spans="1:5" x14ac:dyDescent="0.2">
      <c r="A6" s="11" t="s">
        <v>95</v>
      </c>
      <c r="B6" s="11" t="s">
        <v>116</v>
      </c>
      <c r="C6" s="11">
        <v>87</v>
      </c>
      <c r="D6" s="11" t="s">
        <v>112</v>
      </c>
      <c r="E6" s="11" t="s">
        <v>314</v>
      </c>
    </row>
    <row r="7" spans="1:5" x14ac:dyDescent="0.2">
      <c r="A7" s="11" t="s">
        <v>95</v>
      </c>
      <c r="B7" s="11" t="s">
        <v>315</v>
      </c>
      <c r="C7" s="11">
        <v>44</v>
      </c>
      <c r="D7" s="11" t="s">
        <v>229</v>
      </c>
      <c r="E7" s="11" t="s">
        <v>316</v>
      </c>
    </row>
    <row r="8" spans="1:5" x14ac:dyDescent="0.2">
      <c r="A8" s="11" t="s">
        <v>95</v>
      </c>
      <c r="B8" s="11" t="s">
        <v>317</v>
      </c>
      <c r="C8" s="11">
        <v>100</v>
      </c>
      <c r="D8" s="11" t="s">
        <v>112</v>
      </c>
      <c r="E8" s="11" t="s">
        <v>318</v>
      </c>
    </row>
    <row r="9" spans="1:5" x14ac:dyDescent="0.2">
      <c r="A9" s="11" t="s">
        <v>95</v>
      </c>
      <c r="B9" s="11" t="s">
        <v>319</v>
      </c>
      <c r="C9" s="11">
        <v>80</v>
      </c>
      <c r="D9" s="11" t="s">
        <v>320</v>
      </c>
      <c r="E9" s="11" t="s">
        <v>321</v>
      </c>
    </row>
    <row r="10" spans="1:5" x14ac:dyDescent="0.2">
      <c r="A10" s="11" t="s">
        <v>95</v>
      </c>
      <c r="B10" s="11" t="s">
        <v>322</v>
      </c>
      <c r="C10" s="11">
        <v>310</v>
      </c>
      <c r="D10" s="11" t="s">
        <v>168</v>
      </c>
      <c r="E10" s="11" t="s">
        <v>323</v>
      </c>
    </row>
    <row r="11" spans="1:5" x14ac:dyDescent="0.2">
      <c r="A11" s="11" t="s">
        <v>95</v>
      </c>
      <c r="B11" s="11" t="s">
        <v>324</v>
      </c>
      <c r="C11" s="11">
        <v>314</v>
      </c>
      <c r="D11" s="11" t="s">
        <v>91</v>
      </c>
      <c r="E11" s="11" t="s">
        <v>325</v>
      </c>
    </row>
    <row r="12" spans="1:5" x14ac:dyDescent="0.2">
      <c r="A12" s="11" t="s">
        <v>95</v>
      </c>
      <c r="B12" s="11" t="s">
        <v>213</v>
      </c>
      <c r="C12" s="11">
        <v>387</v>
      </c>
      <c r="D12" s="11" t="s">
        <v>208</v>
      </c>
      <c r="E12" s="11" t="s">
        <v>326</v>
      </c>
    </row>
    <row r="13" spans="1:5" x14ac:dyDescent="0.2">
      <c r="A13" s="11" t="s">
        <v>172</v>
      </c>
      <c r="B13" s="11" t="s">
        <v>324</v>
      </c>
      <c r="C13" s="11">
        <v>55</v>
      </c>
      <c r="D13" s="11" t="s">
        <v>327</v>
      </c>
      <c r="E13" s="11" t="s">
        <v>328</v>
      </c>
    </row>
    <row r="14" spans="1:5" x14ac:dyDescent="0.2">
      <c r="A14" s="11" t="s">
        <v>172</v>
      </c>
      <c r="B14" s="11" t="s">
        <v>213</v>
      </c>
      <c r="C14" s="11">
        <v>160</v>
      </c>
      <c r="D14" s="11" t="s">
        <v>160</v>
      </c>
      <c r="E14" s="11" t="s">
        <v>329</v>
      </c>
    </row>
    <row r="15" spans="1:5" x14ac:dyDescent="0.2">
      <c r="A15" s="11" t="s">
        <v>324</v>
      </c>
      <c r="B15" s="11" t="s">
        <v>71</v>
      </c>
      <c r="C15" s="11">
        <v>215</v>
      </c>
      <c r="D15" s="11" t="s">
        <v>190</v>
      </c>
      <c r="E15" s="11" t="s">
        <v>330</v>
      </c>
    </row>
    <row r="16" spans="1:5" x14ac:dyDescent="0.2">
      <c r="A16" s="11" t="s">
        <v>71</v>
      </c>
      <c r="B16" s="11" t="s">
        <v>198</v>
      </c>
      <c r="C16" s="11">
        <v>55</v>
      </c>
      <c r="D16" s="11" t="s">
        <v>229</v>
      </c>
      <c r="E16" s="11" t="s">
        <v>331</v>
      </c>
    </row>
    <row r="17" spans="1:5" ht="27.75" customHeight="1" x14ac:dyDescent="0.2">
      <c r="A17" s="11" t="s">
        <v>71</v>
      </c>
      <c r="B17" s="11" t="s">
        <v>213</v>
      </c>
      <c r="C17" s="11">
        <v>440</v>
      </c>
      <c r="D17" s="11" t="s">
        <v>332</v>
      </c>
      <c r="E17" s="11" t="s">
        <v>333</v>
      </c>
    </row>
    <row r="18" spans="1:5" x14ac:dyDescent="0.2">
      <c r="A18" s="14" t="s">
        <v>213</v>
      </c>
      <c r="B18" s="14" t="s">
        <v>71</v>
      </c>
      <c r="C18" s="14">
        <v>440</v>
      </c>
      <c r="D18" s="14" t="s">
        <v>332</v>
      </c>
      <c r="E18" s="14" t="s">
        <v>330</v>
      </c>
    </row>
    <row r="19" spans="1:5" ht="27.75" customHeight="1" x14ac:dyDescent="0.2">
      <c r="A19" s="15" t="s">
        <v>198</v>
      </c>
      <c r="B19" s="15" t="s">
        <v>241</v>
      </c>
      <c r="C19" s="15">
        <v>130</v>
      </c>
      <c r="D19" s="15" t="s">
        <v>133</v>
      </c>
      <c r="E19" s="14" t="s">
        <v>334</v>
      </c>
    </row>
    <row r="20" spans="1:5" ht="27.75" customHeight="1" x14ac:dyDescent="0.2">
      <c r="A20" s="15" t="s">
        <v>71</v>
      </c>
      <c r="B20" s="15" t="s">
        <v>241</v>
      </c>
      <c r="C20" s="15">
        <v>140</v>
      </c>
      <c r="D20" s="15" t="s">
        <v>173</v>
      </c>
      <c r="E20" s="14" t="s">
        <v>335</v>
      </c>
    </row>
    <row r="21" spans="1:5" ht="42" customHeight="1" x14ac:dyDescent="0.2">
      <c r="A21" s="16" t="s">
        <v>241</v>
      </c>
      <c r="B21" s="16" t="s">
        <v>198</v>
      </c>
      <c r="C21" s="16">
        <v>130</v>
      </c>
      <c r="D21" s="16" t="s">
        <v>133</v>
      </c>
      <c r="E21" s="11" t="s">
        <v>336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A"/>
  </sheetPr>
  <dimension ref="A1:D12"/>
  <sheetViews>
    <sheetView zoomScaleNormal="100" workbookViewId="0">
      <selection sqref="A1:D1"/>
    </sheetView>
  </sheetViews>
  <sheetFormatPr baseColWidth="10" defaultColWidth="8.6640625" defaultRowHeight="15" customHeight="1" x14ac:dyDescent="0.2"/>
  <cols>
    <col min="1" max="1" width="14" customWidth="1"/>
    <col min="2" max="4" width="40" customWidth="1"/>
  </cols>
  <sheetData>
    <row r="1" spans="1:4" ht="16.5" customHeight="1" x14ac:dyDescent="0.2">
      <c r="A1" s="2" t="s">
        <v>337</v>
      </c>
      <c r="B1" s="2"/>
      <c r="C1" s="2"/>
      <c r="D1" s="2"/>
    </row>
    <row r="2" spans="1:4" x14ac:dyDescent="0.2">
      <c r="A2" s="1" t="s">
        <v>338</v>
      </c>
      <c r="B2" s="1"/>
      <c r="C2" s="1"/>
      <c r="D2" s="1"/>
    </row>
    <row r="4" spans="1:4" ht="30" customHeight="1" x14ac:dyDescent="0.2">
      <c r="A4" s="7" t="s">
        <v>2</v>
      </c>
      <c r="B4" s="7" t="s">
        <v>339</v>
      </c>
      <c r="C4" s="7" t="s">
        <v>340</v>
      </c>
      <c r="D4" s="7" t="s">
        <v>341</v>
      </c>
    </row>
    <row r="5" spans="1:4" ht="55.5" customHeight="1" x14ac:dyDescent="0.2">
      <c r="A5" s="11" t="s">
        <v>342</v>
      </c>
      <c r="B5" s="11" t="s">
        <v>343</v>
      </c>
      <c r="C5" s="11" t="s">
        <v>344</v>
      </c>
      <c r="D5" s="11" t="s">
        <v>345</v>
      </c>
    </row>
    <row r="6" spans="1:4" ht="27.75" customHeight="1" x14ac:dyDescent="0.2">
      <c r="A6" s="11" t="s">
        <v>346</v>
      </c>
      <c r="B6" s="11" t="s">
        <v>347</v>
      </c>
      <c r="C6" s="11" t="s">
        <v>348</v>
      </c>
      <c r="D6" s="11" t="s">
        <v>349</v>
      </c>
    </row>
    <row r="7" spans="1:4" ht="42" customHeight="1" x14ac:dyDescent="0.2">
      <c r="A7" s="11" t="s">
        <v>350</v>
      </c>
      <c r="B7" s="11" t="s">
        <v>351</v>
      </c>
      <c r="C7" s="11" t="s">
        <v>351</v>
      </c>
      <c r="D7" s="11" t="s">
        <v>352</v>
      </c>
    </row>
    <row r="8" spans="1:4" ht="97.5" customHeight="1" x14ac:dyDescent="0.2">
      <c r="A8" s="11" t="s">
        <v>353</v>
      </c>
      <c r="B8" s="11" t="s">
        <v>354</v>
      </c>
      <c r="C8" s="11" t="s">
        <v>355</v>
      </c>
      <c r="D8" s="11" t="s">
        <v>356</v>
      </c>
    </row>
    <row r="9" spans="1:4" ht="55.5" customHeight="1" x14ac:dyDescent="0.2">
      <c r="A9" s="11" t="s">
        <v>357</v>
      </c>
      <c r="B9" s="11" t="s">
        <v>358</v>
      </c>
      <c r="C9" s="11" t="s">
        <v>359</v>
      </c>
      <c r="D9" s="11" t="s">
        <v>360</v>
      </c>
    </row>
    <row r="10" spans="1:4" ht="42" customHeight="1" x14ac:dyDescent="0.2">
      <c r="A10" s="12" t="s">
        <v>361</v>
      </c>
      <c r="B10" s="12" t="s">
        <v>362</v>
      </c>
      <c r="C10" s="12" t="s">
        <v>363</v>
      </c>
      <c r="D10" s="12" t="s">
        <v>364</v>
      </c>
    </row>
    <row r="11" spans="1:4" ht="27.75" customHeight="1" x14ac:dyDescent="0.2">
      <c r="A11" s="13" t="s">
        <v>365</v>
      </c>
      <c r="B11" s="13" t="s">
        <v>366</v>
      </c>
      <c r="C11" s="13" t="s">
        <v>367</v>
      </c>
      <c r="D11" s="13" t="s">
        <v>368</v>
      </c>
    </row>
    <row r="12" spans="1:4" ht="42" customHeight="1" x14ac:dyDescent="0.2">
      <c r="A12" s="11" t="s">
        <v>369</v>
      </c>
      <c r="B12" s="11" t="s">
        <v>370</v>
      </c>
      <c r="C12" s="11" t="s">
        <v>371</v>
      </c>
      <c r="D12" s="11" t="s">
        <v>372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29"/>
  <sheetViews>
    <sheetView zoomScaleNormal="100" workbookViewId="0">
      <selection activeCell="G26" sqref="G26"/>
    </sheetView>
  </sheetViews>
  <sheetFormatPr baseColWidth="10" defaultColWidth="8.6640625" defaultRowHeight="15" customHeight="1" x14ac:dyDescent="0.2"/>
  <cols>
    <col min="1" max="1" width="8" customWidth="1"/>
    <col min="2" max="2" width="35" customWidth="1"/>
    <col min="3" max="3" width="20" customWidth="1"/>
    <col min="4" max="4" width="45" customWidth="1"/>
    <col min="5" max="5" width="15" customWidth="1"/>
  </cols>
  <sheetData>
    <row r="1" spans="1:5" ht="16.5" customHeight="1" x14ac:dyDescent="0.2">
      <c r="A1" s="2" t="s">
        <v>373</v>
      </c>
      <c r="B1" s="2"/>
      <c r="C1" s="2"/>
      <c r="D1" s="2"/>
      <c r="E1" s="2"/>
    </row>
    <row r="3" spans="1:5" x14ac:dyDescent="0.2">
      <c r="A3" s="7" t="s">
        <v>374</v>
      </c>
      <c r="B3" s="7" t="s">
        <v>375</v>
      </c>
      <c r="C3" s="7" t="s">
        <v>376</v>
      </c>
      <c r="D3" s="7" t="s">
        <v>377</v>
      </c>
      <c r="E3" s="7" t="s">
        <v>378</v>
      </c>
    </row>
    <row r="4" spans="1:5" ht="27.75" customHeight="1" x14ac:dyDescent="0.2">
      <c r="A4" s="11">
        <v>1</v>
      </c>
      <c r="B4" s="11" t="s">
        <v>379</v>
      </c>
      <c r="C4" s="11" t="s">
        <v>380</v>
      </c>
      <c r="D4" s="11" t="s">
        <v>381</v>
      </c>
      <c r="E4" s="11"/>
    </row>
    <row r="5" spans="1:5" ht="27.75" customHeight="1" x14ac:dyDescent="0.2">
      <c r="A5" s="11">
        <v>2</v>
      </c>
      <c r="B5" s="11" t="s">
        <v>382</v>
      </c>
      <c r="C5" s="11" t="s">
        <v>380</v>
      </c>
      <c r="D5" s="11" t="s">
        <v>383</v>
      </c>
      <c r="E5" s="11"/>
    </row>
    <row r="6" spans="1:5" ht="27.75" customHeight="1" x14ac:dyDescent="0.2">
      <c r="A6" s="11">
        <v>3</v>
      </c>
      <c r="B6" s="11" t="s">
        <v>384</v>
      </c>
      <c r="C6" s="11" t="s">
        <v>385</v>
      </c>
      <c r="D6" s="11" t="s">
        <v>386</v>
      </c>
      <c r="E6" s="11"/>
    </row>
    <row r="7" spans="1:5" ht="69.75" customHeight="1" x14ac:dyDescent="0.2">
      <c r="A7" s="11">
        <v>4</v>
      </c>
      <c r="B7" s="11" t="s">
        <v>387</v>
      </c>
      <c r="C7" s="11" t="s">
        <v>388</v>
      </c>
      <c r="D7" s="11" t="s">
        <v>389</v>
      </c>
      <c r="E7" s="11" t="s">
        <v>390</v>
      </c>
    </row>
    <row r="8" spans="1:5" ht="27.75" customHeight="1" x14ac:dyDescent="0.2">
      <c r="A8" s="11">
        <v>5</v>
      </c>
      <c r="B8" s="11" t="s">
        <v>391</v>
      </c>
      <c r="C8" s="11" t="s">
        <v>388</v>
      </c>
      <c r="D8" s="11" t="s">
        <v>392</v>
      </c>
      <c r="E8" s="11"/>
    </row>
    <row r="9" spans="1:5" x14ac:dyDescent="0.2">
      <c r="A9" s="11">
        <v>6</v>
      </c>
      <c r="B9" s="11" t="s">
        <v>393</v>
      </c>
      <c r="C9" s="11" t="s">
        <v>388</v>
      </c>
      <c r="D9" s="11" t="s">
        <v>394</v>
      </c>
      <c r="E9" s="11"/>
    </row>
    <row r="10" spans="1:5" ht="27.75" customHeight="1" x14ac:dyDescent="0.2">
      <c r="A10" s="11">
        <v>7</v>
      </c>
      <c r="B10" s="11" t="s">
        <v>395</v>
      </c>
      <c r="C10" s="11" t="s">
        <v>388</v>
      </c>
      <c r="D10" s="11" t="s">
        <v>396</v>
      </c>
      <c r="E10" s="11"/>
    </row>
    <row r="11" spans="1:5" ht="27.75" customHeight="1" x14ac:dyDescent="0.2">
      <c r="A11" s="11">
        <v>8</v>
      </c>
      <c r="B11" s="11" t="s">
        <v>397</v>
      </c>
      <c r="C11" s="11" t="s">
        <v>398</v>
      </c>
      <c r="D11" s="11" t="s">
        <v>399</v>
      </c>
      <c r="E11" s="11"/>
    </row>
    <row r="12" spans="1:5" ht="27.75" customHeight="1" x14ac:dyDescent="0.2">
      <c r="A12" s="11">
        <v>9</v>
      </c>
      <c r="B12" s="11" t="s">
        <v>400</v>
      </c>
      <c r="C12" s="11" t="s">
        <v>401</v>
      </c>
      <c r="D12" s="11" t="s">
        <v>402</v>
      </c>
      <c r="E12" s="11"/>
    </row>
    <row r="13" spans="1:5" ht="27.75" customHeight="1" x14ac:dyDescent="0.2">
      <c r="A13" s="11">
        <v>10</v>
      </c>
      <c r="B13" s="11" t="s">
        <v>403</v>
      </c>
      <c r="C13" s="11" t="s">
        <v>404</v>
      </c>
      <c r="D13" s="11" t="s">
        <v>405</v>
      </c>
      <c r="E13" s="11"/>
    </row>
    <row r="14" spans="1:5" x14ac:dyDescent="0.2">
      <c r="A14" s="11">
        <v>11</v>
      </c>
      <c r="B14" s="11" t="s">
        <v>406</v>
      </c>
      <c r="C14" s="11" t="s">
        <v>401</v>
      </c>
      <c r="D14" s="11" t="s">
        <v>407</v>
      </c>
      <c r="E14" s="11"/>
    </row>
    <row r="15" spans="1:5" x14ac:dyDescent="0.2">
      <c r="A15" s="11">
        <v>12</v>
      </c>
      <c r="B15" s="11" t="s">
        <v>408</v>
      </c>
      <c r="C15" s="11" t="s">
        <v>409</v>
      </c>
      <c r="D15" s="11" t="s">
        <v>410</v>
      </c>
      <c r="E15" s="11"/>
    </row>
    <row r="16" spans="1:5" x14ac:dyDescent="0.2">
      <c r="A16" s="11">
        <v>13</v>
      </c>
      <c r="B16" s="11" t="s">
        <v>411</v>
      </c>
      <c r="C16" s="11" t="s">
        <v>409</v>
      </c>
      <c r="D16" s="11" t="s">
        <v>412</v>
      </c>
      <c r="E16" s="11"/>
    </row>
    <row r="17" spans="1:5" x14ac:dyDescent="0.2">
      <c r="A17" s="11">
        <v>14</v>
      </c>
      <c r="B17" s="11" t="s">
        <v>101</v>
      </c>
      <c r="C17" s="11" t="s">
        <v>413</v>
      </c>
      <c r="D17" s="11" t="s">
        <v>414</v>
      </c>
      <c r="E17" s="11"/>
    </row>
    <row r="18" spans="1:5" x14ac:dyDescent="0.2">
      <c r="A18" s="11">
        <v>15</v>
      </c>
      <c r="B18" s="11" t="s">
        <v>415</v>
      </c>
      <c r="C18" s="11" t="s">
        <v>416</v>
      </c>
      <c r="D18" s="11" t="s">
        <v>417</v>
      </c>
      <c r="E18" s="11"/>
    </row>
    <row r="19" spans="1:5" ht="27.75" customHeight="1" x14ac:dyDescent="0.2">
      <c r="A19" s="11">
        <v>16</v>
      </c>
      <c r="B19" s="11" t="s">
        <v>418</v>
      </c>
      <c r="C19" s="11" t="s">
        <v>398</v>
      </c>
      <c r="D19" s="11" t="s">
        <v>419</v>
      </c>
      <c r="E19" s="11"/>
    </row>
    <row r="20" spans="1:5" x14ac:dyDescent="0.2">
      <c r="A20" s="11">
        <v>17</v>
      </c>
      <c r="B20" s="11" t="s">
        <v>420</v>
      </c>
      <c r="C20" s="11" t="s">
        <v>421</v>
      </c>
      <c r="D20" s="11" t="s">
        <v>422</v>
      </c>
      <c r="E20" s="11"/>
    </row>
    <row r="21" spans="1:5" ht="27.75" customHeight="1" x14ac:dyDescent="0.2">
      <c r="A21" s="11">
        <v>18</v>
      </c>
      <c r="B21" s="11" t="s">
        <v>423</v>
      </c>
      <c r="C21" s="11" t="s">
        <v>424</v>
      </c>
      <c r="D21" s="11" t="s">
        <v>425</v>
      </c>
      <c r="E21" s="11"/>
    </row>
    <row r="22" spans="1:5" ht="27.75" customHeight="1" x14ac:dyDescent="0.2">
      <c r="A22" s="17">
        <v>19</v>
      </c>
      <c r="B22" s="17" t="s">
        <v>426</v>
      </c>
      <c r="C22" s="17" t="s">
        <v>388</v>
      </c>
      <c r="D22" s="17" t="s">
        <v>427</v>
      </c>
    </row>
    <row r="23" spans="1:5" ht="27.75" customHeight="1" x14ac:dyDescent="0.2">
      <c r="A23" s="17">
        <v>20</v>
      </c>
      <c r="B23" s="17" t="s">
        <v>428</v>
      </c>
      <c r="C23" s="17" t="s">
        <v>409</v>
      </c>
      <c r="D23" s="17" t="s">
        <v>429</v>
      </c>
    </row>
    <row r="24" spans="1:5" ht="42" customHeight="1" x14ac:dyDescent="0.2">
      <c r="A24" s="18">
        <v>21</v>
      </c>
      <c r="B24" s="18" t="s">
        <v>430</v>
      </c>
      <c r="C24" s="18" t="s">
        <v>431</v>
      </c>
      <c r="D24" s="18" t="s">
        <v>432</v>
      </c>
    </row>
    <row r="25" spans="1:5" ht="45" x14ac:dyDescent="0.2">
      <c r="A25" s="19">
        <v>22</v>
      </c>
      <c r="B25" s="19" t="s">
        <v>433</v>
      </c>
      <c r="C25" s="19" t="s">
        <v>380</v>
      </c>
      <c r="D25" s="19" t="s">
        <v>434</v>
      </c>
      <c r="E25" s="19" t="s">
        <v>435</v>
      </c>
    </row>
    <row r="26" spans="1:5" ht="45" x14ac:dyDescent="0.2">
      <c r="A26" s="19">
        <v>23</v>
      </c>
      <c r="B26" s="19" t="s">
        <v>436</v>
      </c>
      <c r="C26" s="19" t="s">
        <v>380</v>
      </c>
      <c r="D26" s="19" t="s">
        <v>437</v>
      </c>
      <c r="E26" s="19" t="s">
        <v>438</v>
      </c>
    </row>
    <row r="27" spans="1:5" ht="45" x14ac:dyDescent="0.2">
      <c r="A27" s="19">
        <v>24</v>
      </c>
      <c r="B27" s="19" t="s">
        <v>439</v>
      </c>
      <c r="C27" s="19" t="s">
        <v>380</v>
      </c>
      <c r="D27" s="19" t="s">
        <v>440</v>
      </c>
      <c r="E27" s="19" t="s">
        <v>441</v>
      </c>
    </row>
    <row r="28" spans="1:5" ht="45" x14ac:dyDescent="0.2">
      <c r="A28" s="19">
        <v>25</v>
      </c>
      <c r="B28" s="19" t="s">
        <v>442</v>
      </c>
      <c r="C28" s="19" t="s">
        <v>380</v>
      </c>
      <c r="D28" s="19" t="s">
        <v>443</v>
      </c>
      <c r="E28" s="19" t="s">
        <v>435</v>
      </c>
    </row>
    <row r="29" spans="1:5" ht="30" x14ac:dyDescent="0.2">
      <c r="A29" s="9">
        <v>26</v>
      </c>
      <c r="B29" s="9" t="s">
        <v>444</v>
      </c>
      <c r="C29" s="9" t="s">
        <v>388</v>
      </c>
      <c r="D29" s="9" t="s">
        <v>445</v>
      </c>
      <c r="E29" s="9" t="s">
        <v>446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D20"/>
  <sheetViews>
    <sheetView zoomScaleNormal="100" workbookViewId="0">
      <selection activeCell="A18" sqref="A18:D18"/>
    </sheetView>
  </sheetViews>
  <sheetFormatPr baseColWidth="10" defaultColWidth="8.6640625" defaultRowHeight="15" customHeight="1" x14ac:dyDescent="0.2"/>
  <cols>
    <col min="1" max="1" width="35" customWidth="1"/>
    <col min="2" max="3" width="18" customWidth="1"/>
    <col min="4" max="4" width="35" customWidth="1"/>
  </cols>
  <sheetData>
    <row r="1" spans="1:4" ht="16.5" customHeight="1" x14ac:dyDescent="0.2">
      <c r="A1" s="2" t="s">
        <v>447</v>
      </c>
      <c r="B1" s="2"/>
      <c r="C1" s="2"/>
      <c r="D1" s="2"/>
    </row>
    <row r="3" spans="1:4" x14ac:dyDescent="0.2">
      <c r="A3" s="7" t="s">
        <v>375</v>
      </c>
      <c r="B3" s="7" t="s">
        <v>448</v>
      </c>
      <c r="C3" s="7" t="s">
        <v>449</v>
      </c>
      <c r="D3" s="7" t="s">
        <v>309</v>
      </c>
    </row>
    <row r="4" spans="1:4" ht="27.75" customHeight="1" x14ac:dyDescent="0.2">
      <c r="A4" s="11" t="s">
        <v>450</v>
      </c>
      <c r="B4" s="20">
        <v>900</v>
      </c>
      <c r="C4" s="20">
        <v>1800</v>
      </c>
      <c r="D4" s="11" t="s">
        <v>451</v>
      </c>
    </row>
    <row r="5" spans="1:4" ht="42" customHeight="1" x14ac:dyDescent="0.2">
      <c r="A5" s="11" t="s">
        <v>452</v>
      </c>
      <c r="B5" s="20">
        <v>300</v>
      </c>
      <c r="C5" s="20">
        <v>600</v>
      </c>
      <c r="D5" s="11" t="s">
        <v>453</v>
      </c>
    </row>
    <row r="6" spans="1:4" ht="27.75" customHeight="1" x14ac:dyDescent="0.2">
      <c r="A6" s="11" t="s">
        <v>454</v>
      </c>
      <c r="B6" s="20">
        <v>650</v>
      </c>
      <c r="C6" s="20">
        <v>1100</v>
      </c>
      <c r="D6" s="11" t="s">
        <v>455</v>
      </c>
    </row>
    <row r="7" spans="1:4" ht="42" customHeight="1" x14ac:dyDescent="0.2">
      <c r="A7" s="11" t="s">
        <v>456</v>
      </c>
      <c r="B7" s="20">
        <v>300</v>
      </c>
      <c r="C7" s="20">
        <v>450</v>
      </c>
      <c r="D7" s="11" t="s">
        <v>457</v>
      </c>
    </row>
    <row r="8" spans="1:4" x14ac:dyDescent="0.2">
      <c r="A8" s="11" t="s">
        <v>458</v>
      </c>
      <c r="B8" s="20">
        <v>50</v>
      </c>
      <c r="C8" s="20">
        <v>100</v>
      </c>
      <c r="D8" s="11" t="s">
        <v>459</v>
      </c>
    </row>
    <row r="9" spans="1:4" ht="42" customHeight="1" x14ac:dyDescent="0.2">
      <c r="A9" s="11" t="s">
        <v>460</v>
      </c>
      <c r="B9" s="20">
        <v>600</v>
      </c>
      <c r="C9" s="20">
        <v>800</v>
      </c>
      <c r="D9" s="11" t="s">
        <v>461</v>
      </c>
    </row>
    <row r="10" spans="1:4" ht="27.75" customHeight="1" x14ac:dyDescent="0.2">
      <c r="A10" s="11" t="s">
        <v>462</v>
      </c>
      <c r="B10" s="20">
        <v>80</v>
      </c>
      <c r="C10" s="20">
        <v>180</v>
      </c>
      <c r="D10" s="11" t="s">
        <v>463</v>
      </c>
    </row>
    <row r="11" spans="1:4" x14ac:dyDescent="0.2">
      <c r="A11" s="11" t="s">
        <v>464</v>
      </c>
      <c r="B11" s="20">
        <v>100</v>
      </c>
      <c r="C11" s="20">
        <v>200</v>
      </c>
      <c r="D11" s="11" t="s">
        <v>465</v>
      </c>
    </row>
    <row r="12" spans="1:4" ht="27.75" customHeight="1" x14ac:dyDescent="0.2">
      <c r="A12" s="11" t="s">
        <v>466</v>
      </c>
      <c r="B12" s="20">
        <v>800</v>
      </c>
      <c r="C12" s="20">
        <v>1400</v>
      </c>
      <c r="D12" s="11" t="s">
        <v>467</v>
      </c>
    </row>
    <row r="13" spans="1:4" ht="55.5" customHeight="1" x14ac:dyDescent="0.2">
      <c r="A13" s="11" t="s">
        <v>468</v>
      </c>
      <c r="B13" s="20">
        <v>200</v>
      </c>
      <c r="C13" s="20">
        <v>800</v>
      </c>
      <c r="D13" s="11" t="s">
        <v>469</v>
      </c>
    </row>
    <row r="14" spans="1:4" ht="27.75" customHeight="1" x14ac:dyDescent="0.2">
      <c r="A14" s="11" t="s">
        <v>470</v>
      </c>
      <c r="B14" s="20">
        <v>100</v>
      </c>
      <c r="C14" s="20">
        <v>300</v>
      </c>
      <c r="D14" s="11" t="s">
        <v>471</v>
      </c>
    </row>
    <row r="15" spans="1:4" x14ac:dyDescent="0.2">
      <c r="A15" s="11" t="s">
        <v>472</v>
      </c>
      <c r="B15" s="20">
        <v>100</v>
      </c>
      <c r="C15" s="20">
        <v>200</v>
      </c>
      <c r="D15" s="11" t="s">
        <v>473</v>
      </c>
    </row>
    <row r="16" spans="1:4" ht="45" x14ac:dyDescent="0.2">
      <c r="A16" s="9" t="s">
        <v>474</v>
      </c>
      <c r="B16" s="9"/>
      <c r="C16" s="9"/>
      <c r="D16" s="9" t="s">
        <v>475</v>
      </c>
    </row>
    <row r="17" spans="1:4" ht="45" x14ac:dyDescent="0.2">
      <c r="A17" s="9" t="s">
        <v>476</v>
      </c>
      <c r="B17" s="9">
        <v>197</v>
      </c>
      <c r="C17" s="9">
        <v>300</v>
      </c>
      <c r="D17" s="9" t="s">
        <v>477</v>
      </c>
    </row>
    <row r="18" spans="1:4" x14ac:dyDescent="0.2">
      <c r="A18" s="9"/>
      <c r="B18" s="9"/>
      <c r="C18" s="9"/>
      <c r="D18" s="9"/>
    </row>
    <row r="20" spans="1:4" x14ac:dyDescent="0.2">
      <c r="A20" s="21" t="s">
        <v>478</v>
      </c>
      <c r="B20" s="22">
        <f>SUM(B4:B18)</f>
        <v>4377</v>
      </c>
      <c r="C20" s="22">
        <f>SUM(C4:C18)</f>
        <v>8230</v>
      </c>
      <c r="D20" s="2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B6B"/>
  </sheetPr>
  <dimension ref="A1:B11"/>
  <sheetViews>
    <sheetView zoomScaleNormal="100" workbookViewId="0">
      <selection sqref="A1:B1"/>
    </sheetView>
  </sheetViews>
  <sheetFormatPr baseColWidth="10" defaultColWidth="8.6640625" defaultRowHeight="15" customHeight="1" x14ac:dyDescent="0.2"/>
  <cols>
    <col min="1" max="1" width="25" customWidth="1"/>
    <col min="2" max="2" width="50" customWidth="1"/>
  </cols>
  <sheetData>
    <row r="1" spans="1:2" ht="16.5" customHeight="1" x14ac:dyDescent="0.2">
      <c r="A1" s="2" t="s">
        <v>479</v>
      </c>
      <c r="B1" s="2"/>
    </row>
    <row r="3" spans="1:2" ht="27.75" customHeight="1" x14ac:dyDescent="0.2">
      <c r="A3" s="24" t="s">
        <v>480</v>
      </c>
      <c r="B3" s="11" t="s">
        <v>481</v>
      </c>
    </row>
    <row r="4" spans="1:2" x14ac:dyDescent="0.2">
      <c r="A4" s="24" t="s">
        <v>482</v>
      </c>
      <c r="B4" s="11" t="s">
        <v>483</v>
      </c>
    </row>
    <row r="5" spans="1:2" x14ac:dyDescent="0.2">
      <c r="A5" s="24" t="s">
        <v>484</v>
      </c>
      <c r="B5" s="11" t="s">
        <v>485</v>
      </c>
    </row>
    <row r="6" spans="1:2" x14ac:dyDescent="0.2">
      <c r="A6" s="24" t="s">
        <v>486</v>
      </c>
      <c r="B6" s="11" t="s">
        <v>487</v>
      </c>
    </row>
    <row r="7" spans="1:2" x14ac:dyDescent="0.2">
      <c r="A7" s="24" t="s">
        <v>488</v>
      </c>
      <c r="B7" s="11" t="s">
        <v>489</v>
      </c>
    </row>
    <row r="8" spans="1:2" x14ac:dyDescent="0.2">
      <c r="A8" s="24" t="s">
        <v>490</v>
      </c>
      <c r="B8" s="11" t="s">
        <v>491</v>
      </c>
    </row>
    <row r="9" spans="1:2" x14ac:dyDescent="0.2">
      <c r="A9" s="24" t="s">
        <v>492</v>
      </c>
      <c r="B9" s="11" t="s">
        <v>493</v>
      </c>
    </row>
    <row r="10" spans="1:2" ht="27.75" customHeight="1" x14ac:dyDescent="0.2">
      <c r="A10" s="25" t="s">
        <v>494</v>
      </c>
      <c r="B10" s="10" t="s">
        <v>495</v>
      </c>
    </row>
    <row r="11" spans="1:2" ht="27.75" customHeight="1" x14ac:dyDescent="0.2">
      <c r="A11" s="24" t="s">
        <v>496</v>
      </c>
      <c r="B11" s="11" t="s">
        <v>497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zoomScaleNormal="100" workbookViewId="0"/>
  </sheetViews>
  <sheetFormatPr baseColWidth="10" defaultColWidth="8.6640625" defaultRowHeight="15" customHeight="1" x14ac:dyDescent="0.2"/>
  <cols>
    <col min="1" max="1" width="22" customWidth="1"/>
    <col min="2" max="2" width="12" customWidth="1"/>
    <col min="3" max="3" width="28" customWidth="1"/>
    <col min="4" max="4" width="26" customWidth="1"/>
    <col min="5" max="5" width="28" customWidth="1"/>
    <col min="6" max="6" width="26" customWidth="1"/>
    <col min="7" max="7" width="14" customWidth="1"/>
    <col min="8" max="8" width="20" customWidth="1"/>
    <col min="9" max="9" width="12" customWidth="1"/>
    <col min="10" max="10" width="50" customWidth="1"/>
  </cols>
  <sheetData>
    <row r="1" spans="1:10" ht="19" x14ac:dyDescent="0.25">
      <c r="A1" s="26" t="s">
        <v>498</v>
      </c>
    </row>
    <row r="2" spans="1:10" x14ac:dyDescent="0.2">
      <c r="A2" s="27" t="s">
        <v>499</v>
      </c>
    </row>
    <row r="4" spans="1:10" ht="16" x14ac:dyDescent="0.2">
      <c r="A4" s="28" t="s">
        <v>500</v>
      </c>
      <c r="B4" s="28" t="s">
        <v>501</v>
      </c>
      <c r="C4" s="28" t="s">
        <v>306</v>
      </c>
      <c r="D4" s="28" t="s">
        <v>502</v>
      </c>
      <c r="E4" s="28" t="s">
        <v>307</v>
      </c>
      <c r="F4" s="28" t="s">
        <v>503</v>
      </c>
      <c r="G4" s="28" t="s">
        <v>504</v>
      </c>
      <c r="H4" s="28" t="s">
        <v>505</v>
      </c>
      <c r="I4" s="28" t="s">
        <v>378</v>
      </c>
      <c r="J4" s="28" t="s">
        <v>309</v>
      </c>
    </row>
    <row r="5" spans="1:10" x14ac:dyDescent="0.2">
      <c r="A5" s="8" t="s">
        <v>506</v>
      </c>
      <c r="B5" s="8" t="s">
        <v>507</v>
      </c>
      <c r="C5" s="8" t="s">
        <v>508</v>
      </c>
      <c r="D5" s="8" t="s">
        <v>509</v>
      </c>
      <c r="E5" s="8" t="s">
        <v>510</v>
      </c>
      <c r="F5" s="8" t="s">
        <v>511</v>
      </c>
      <c r="G5" s="8" t="s">
        <v>512</v>
      </c>
      <c r="H5" s="8" t="s">
        <v>513</v>
      </c>
      <c r="I5" s="8" t="s">
        <v>514</v>
      </c>
      <c r="J5" s="8" t="s">
        <v>515</v>
      </c>
    </row>
    <row r="6" spans="1:10" x14ac:dyDescent="0.2">
      <c r="A6" s="9" t="s">
        <v>516</v>
      </c>
      <c r="B6" s="9" t="s">
        <v>517</v>
      </c>
      <c r="C6" s="9" t="s">
        <v>518</v>
      </c>
      <c r="D6" s="9" t="s">
        <v>519</v>
      </c>
      <c r="E6" s="9" t="s">
        <v>520</v>
      </c>
      <c r="F6" s="9" t="s">
        <v>521</v>
      </c>
      <c r="G6" s="9" t="s">
        <v>512</v>
      </c>
      <c r="H6" s="9" t="s">
        <v>513</v>
      </c>
      <c r="I6" s="9" t="s">
        <v>514</v>
      </c>
      <c r="J6" s="9" t="s">
        <v>522</v>
      </c>
    </row>
    <row r="7" spans="1:10" ht="30" x14ac:dyDescent="0.2">
      <c r="A7" s="8" t="s">
        <v>523</v>
      </c>
      <c r="B7" s="8" t="s">
        <v>524</v>
      </c>
      <c r="C7" s="8" t="s">
        <v>525</v>
      </c>
      <c r="D7" s="8" t="s">
        <v>526</v>
      </c>
      <c r="E7" s="8" t="s">
        <v>527</v>
      </c>
      <c r="F7" s="8" t="s">
        <v>528</v>
      </c>
      <c r="G7" s="8" t="s">
        <v>529</v>
      </c>
      <c r="H7" s="8" t="s">
        <v>530</v>
      </c>
      <c r="I7" s="8" t="s">
        <v>514</v>
      </c>
      <c r="J7" s="8" t="s">
        <v>531</v>
      </c>
    </row>
    <row r="8" spans="1:10" ht="30" x14ac:dyDescent="0.2">
      <c r="A8" s="9" t="s">
        <v>532</v>
      </c>
      <c r="B8" s="9" t="s">
        <v>533</v>
      </c>
      <c r="C8" s="9" t="s">
        <v>527</v>
      </c>
      <c r="D8" s="9" t="s">
        <v>534</v>
      </c>
      <c r="E8" s="9" t="s">
        <v>535</v>
      </c>
      <c r="F8" s="9" t="s">
        <v>536</v>
      </c>
      <c r="G8" s="9" t="s">
        <v>537</v>
      </c>
      <c r="H8" s="9" t="s">
        <v>538</v>
      </c>
      <c r="I8" s="9" t="s">
        <v>514</v>
      </c>
      <c r="J8" s="9" t="s">
        <v>539</v>
      </c>
    </row>
    <row r="9" spans="1:10" ht="30" x14ac:dyDescent="0.2">
      <c r="A9" s="8" t="s">
        <v>540</v>
      </c>
      <c r="B9" s="8" t="s">
        <v>541</v>
      </c>
      <c r="C9" s="8" t="s">
        <v>520</v>
      </c>
      <c r="D9" s="8" t="s">
        <v>542</v>
      </c>
      <c r="E9" s="8" t="s">
        <v>510</v>
      </c>
      <c r="F9" s="8" t="s">
        <v>543</v>
      </c>
      <c r="G9" s="8" t="s">
        <v>544</v>
      </c>
      <c r="H9" s="8" t="s">
        <v>513</v>
      </c>
      <c r="I9" s="8" t="s">
        <v>514</v>
      </c>
      <c r="J9" s="8" t="s">
        <v>545</v>
      </c>
    </row>
    <row r="10" spans="1:10" x14ac:dyDescent="0.2">
      <c r="A10" s="9" t="s">
        <v>546</v>
      </c>
      <c r="B10" s="9" t="s">
        <v>547</v>
      </c>
      <c r="C10" s="9" t="s">
        <v>548</v>
      </c>
      <c r="D10" s="9" t="s">
        <v>549</v>
      </c>
      <c r="E10" s="9" t="s">
        <v>508</v>
      </c>
      <c r="F10" s="9" t="s">
        <v>550</v>
      </c>
      <c r="G10" s="9" t="s">
        <v>544</v>
      </c>
      <c r="H10" s="9" t="s">
        <v>513</v>
      </c>
      <c r="I10" s="9" t="s">
        <v>514</v>
      </c>
      <c r="J10" s="9" t="s">
        <v>551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Itinerary</vt:lpstr>
      <vt:lpstr>Driving Distances</vt:lpstr>
      <vt:lpstr>Route Options (May 9–13)</vt:lpstr>
      <vt:lpstr>Booking Checklist</vt:lpstr>
      <vt:lpstr>Budget Estimate</vt:lpstr>
      <vt:lpstr>Sister Flight Info</vt:lpstr>
      <vt:lpstr>Parents' Int'l 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Adhikari, Simran</cp:lastModifiedBy>
  <cp:revision>0</cp:revision>
  <dcterms:created xsi:type="dcterms:W3CDTF">2026-03-31T05:38:38Z</dcterms:created>
  <dcterms:modified xsi:type="dcterms:W3CDTF">2026-04-02T07:24:57Z</dcterms:modified>
  <dc:language>en-US</dc:language>
</cp:coreProperties>
</file>